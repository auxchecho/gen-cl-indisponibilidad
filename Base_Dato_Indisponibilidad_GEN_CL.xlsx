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419" documentId="8_{55EF2082-D0B7-4F26-90F5-434FA2717943}" xr6:coauthVersionLast="47" xr6:coauthVersionMax="47" xr10:uidLastSave="{79A36A9C-0BDC-45C9-978F-A3DD19003660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3" i="1" l="1"/>
  <c r="D2" i="3"/>
  <c r="C352" i="1"/>
  <c r="C351" i="1"/>
  <c r="C350" i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<sst xmlns="http://schemas.openxmlformats.org/spreadsheetml/2006/main" count="956" uniqueCount="130">
  <si>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</si>
  <si>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</si>
  <si>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</si>
  <si>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</si>
  <si>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</si>
  <si>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</si>
  <si>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</si>
  <si>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</si>
  <si>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</si>
  <si>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</si>
  <si>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</si>
  <si>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</si>
  <si>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</si>
  <si>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</si>
  <si>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</si>
  <si>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</si>
  <si>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</si>
  <si>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</si>
  <si>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</si>
  <si>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</si>
  <si>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</si>
  <si>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</si>
  <si>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</si>
  <si>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</si>
  <si>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</si>
  <si>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</si>
  <si>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</si>
  <si>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</si>
  <si>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</si>
  <si>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</si>
  <si>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</si>
  <si>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</si>
  <si>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</si>
  <si>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</si>
  <si>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</si>
  <si>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</si>
  <si>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</si>
  <si>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</si>
  <si>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</si>
  <si>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</si>
  <si>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</si>
  <si>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</si>
  <si>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</si>
  <si>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</si>
  <si>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</si>
  <si>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</si>
  <si>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</si>
  <si>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</si>
  <si>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</si>
  <si>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</si>
  <si>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</si>
  <si>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</si>
  <si>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</si>
  <si>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</si>
  <si>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</si>
  <si>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</si>
  <si>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</si>
  <si>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</si>
  <si>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</si>
  <si>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</si>
  <si>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</si>
  <si>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</si>
  <si>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</si>
  <si>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</si>
  <si>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</si>
  <si>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</si>
  <si>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</si>
  <si>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</si>
  <si>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</si>
  <si>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</si>
  <si>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</si>
  <si>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</si>
  <si>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</si>
  <si>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</si>
  <si>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</si>
  <si>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</si>
  <si>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</si>
  <si>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</si>
  <si>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</si>
  <si>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</si>
  <si>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</si>
  <si>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</si>
  <si>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</si>
  <si>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</si>
  <si>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</si>
  <si>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</si>
  <si>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</si>
  <si>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</si>
  <si>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</si>
  <si>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</si>
  <si>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</si>
  <si>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</si>
  <si>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</si>
  <si>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</si>
  <si>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</si>
  <si>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</si>
  <si>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</si>
  <si>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</si>
  <si>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</si>
  <si>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</si>
  <si>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</si>
  <si>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</si>
  <si>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</si>
  <si>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</si>
  <si>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</si>
  <si>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</si>
  <si>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</si>
  <si>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</si>
  <si>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</si>
  <si>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</si>
  <si>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</si>
  <si>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</si>
  <si>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</si>
  <si>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</si>
  <si>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</si>
  <si>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</si>
  <si>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</si>
  <si>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</si>
  <si>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</si>
  <si>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</si>
  <si>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</si>
  <si>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</si>
  <si>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</si>
  <si>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</si>
  <si>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</si>
  <si>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</si>
  <si>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</si>
  <si>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</si>
  <si>
    <t>Bajo nivel del Domo MP</t>
  </si>
  <si>
    <t>Falla valvúla control nivel del Domo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</si>
</sst>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3" totalsRowShown="0" headerRowDxfId="8">
  <autoFilter ref="A10:J35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3"/>
  <sheetViews>
    <sheetView tabSelected="1" workbookViewId="0">
      <pane ySplit="10" topLeftCell="A337" activePane="bottomLeft" state="frozen"/>
      <selection pane="bottomLeft" activeCell="I353" sqref="I35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46263.368750000001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  <c r="J349" s="1" t="s">
        <v>23</v>
      </c>
    </row>
    <row r="350" spans="1:10" x14ac:dyDescent="0.25">
      <c r="A350" s="1">
        <v>340</v>
      </c>
      <c r="B350" s="13" t="s">
        <v>12</v>
      </c>
      <c r="C3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>
        <v>46275.894444444442</v>
      </c>
      <c r="H350" s="11" t="s">
        <v>125</v>
      </c>
      <c r="I350" s="11" t="s">
        <v>127</v>
      </c>
      <c r="J350" s="1" t="s">
        <v>23</v>
      </c>
    </row>
    <row r="351" spans="1:10" x14ac:dyDescent="0.25">
      <c r="A351" s="1">
        <v>341</v>
      </c>
      <c r="B351" s="13" t="s">
        <v>16</v>
      </c>
      <c r="C3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1" s="14">
        <v>0</v>
      </c>
      <c r="E351" s="13" t="s">
        <v>13</v>
      </c>
      <c r="F351" s="15">
        <v>46276.121527777781</v>
      </c>
      <c r="G351" s="15">
        <v>46276.189583333333</v>
      </c>
      <c r="H351" s="11" t="s">
        <v>128</v>
      </c>
      <c r="I351" s="11" t="s">
        <v>129</v>
      </c>
      <c r="J351" s="1" t="s">
        <v>23</v>
      </c>
    </row>
    <row r="352" spans="1:10" x14ac:dyDescent="0.25">
      <c r="A352" s="1">
        <v>342</v>
      </c>
      <c r="B352" s="13" t="s">
        <v>12</v>
      </c>
      <c r="C3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2" s="14">
        <v>262</v>
      </c>
      <c r="E352" s="13" t="s">
        <v>11</v>
      </c>
      <c r="F352" s="15">
        <v>46277.865277777775</v>
      </c>
      <c r="G352" s="15">
        <v>46277.884027777778</v>
      </c>
      <c r="H352" s="11" t="s">
        <v>125</v>
      </c>
      <c r="I352" s="11" t="s">
        <v>127</v>
      </c>
      <c r="J352" s="1" t="s">
        <v>23</v>
      </c>
    </row>
    <row r="353" spans="1:9" x14ac:dyDescent="0.25">
      <c r="A353">
        <v>343</v>
      </c>
      <c r="B353" s="13" t="s">
        <v>12</v>
      </c>
      <c r="C3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3" s="14">
        <v>0</v>
      </c>
      <c r="E353" s="13" t="s">
        <v>13</v>
      </c>
      <c r="F353" s="15">
        <v>46299.243055555555</v>
      </c>
      <c r="G353" s="15"/>
      <c r="H353" s="11" t="s">
        <v>95</v>
      </c>
      <c r="I353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8" sqref="C8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29" sqref="D2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46295.999988425923</v>
      </c>
      <c r="D2" s="14">
        <f>Indisp_Prog[[#This Row],[Fecha_Hora_Fin]]-Indisp_Prog[[#This Row],[Fecha_Hora_Inicio]]</f>
        <v>272.99998842592322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2026-10-05T11:18:19Z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