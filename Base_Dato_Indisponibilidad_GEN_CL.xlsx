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361" documentId="8_{55EF2082-D0B7-4F26-90F5-434FA2717943}" xr6:coauthVersionLast="47" xr6:coauthVersionMax="47" xr10:uidLastSave="{81B180EB-BEC6-40C2-A9D3-BE0EC3669F23}"/>
  <bookViews>
    <workbookView minimized="1" xWindow="26148" yWindow="3372" windowWidth="17280" windowHeight="8928" firstSheet="1" activeTab="1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 calcCompleted="0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8" i="1" l="1"/>
  <c r="D4" i="3"/>
  <c r="C347" i="1"/>
  <c r="C346" i="1"/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<sst xmlns="http://schemas.openxmlformats.org/spreadsheetml/2006/main" count="933" uniqueCount="125">
  <si>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</si>
  <si>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</si>
  <si>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</si>
  <si>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</si>
  <si>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</si>
  <si>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</si>
  <si>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</si>
  <si>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</si>
  <si>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</si>
  <si>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</si>
  <si>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</si>
  <si>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</si>
  <si>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</si>
  <si>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</si>
  <si>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</si>
  <si>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</si>
  <si>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</si>
  <si>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</si>
  <si>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</si>
  <si>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</si>
  <si>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</si>
  <si>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</si>
  <si>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</si>
  <si>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</si>
  <si>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</si>
  <si>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</si>
  <si>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</si>
  <si>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</si>
  <si>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</si>
  <si>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</si>
  <si>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</si>
  <si>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</si>
  <si>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</si>
  <si>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</si>
  <si>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</si>
  <si>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</si>
  <si>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</si>
  <si>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</si>
  <si>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</si>
  <si>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</si>
  <si>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</si>
  <si>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</si>
  <si>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</si>
  <si>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</si>
  <si>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</si>
  <si>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</si>
  <si>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</si>
  <si>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</si>
  <si>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</si>
  <si>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</si>
  <si>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</si>
  <si>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</si>
  <si>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</si>
  <si>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</si>
  <si>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</si>
  <si>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</si>
  <si>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</si>
  <si>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</si>
  <si>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</si>
  <si>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</si>
  <si>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</si>
  <si>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</si>
  <si>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</si>
  <si>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</si>
  <si>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</si>
  <si>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</si>
  <si>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</si>
  <si>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</si>
  <si>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</si>
  <si>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</si>
  <si>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</si>
  <si>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</si>
  <si>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</si>
  <si>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</si>
  <si>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</si>
  <si>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</si>
  <si>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</si>
  <si>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</si>
  <si>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</si>
  <si>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</si>
  <si>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</si>
  <si>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</si>
  <si>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</si>
  <si>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</si>
  <si>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</si>
  <si>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</si>
  <si>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</si>
  <si>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</si>
  <si>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</si>
  <si>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</si>
  <si>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</si>
  <si>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</si>
  <si>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</si>
  <si>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</si>
  <si>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</si>
  <si>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</si>
  <si>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</si>
  <si>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</si>
  <si>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</si>
  <si>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</si>
  <si>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</si>
  <si>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</si>
  <si>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</si>
  <si>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</si>
  <si>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</si>
  <si>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</si>
  <si>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Cambio de filtro de admisión en caja intake</t>
  </si>
  <si>
    <t>Alta diferencia de presión filtro de admisión en caja intake</t>
  </si>
  <si>
    <t>Alta vibración descanso TV</t>
  </si>
  <si>
    <t>Se realiza desacople TV para iniciar proceso de calentamiento uniforme.</t>
  </si>
  <si>
    <t>Al DP filtrso succión bba LAC10/30</t>
  </si>
  <si>
    <t>Filtros de succión obstruidos bbas agua alimentación.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</si>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</sst>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8" totalsRowShown="0" headerRowDxfId="8">
  <autoFilter ref="A10:J348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7"/>
    <tableColumn id="7" xr3:uid="{542F6635-555D-4F04-8C27-263AF6E0C9F1}" name="Sitio" dataDxfId="6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5"/>
    <tableColumn id="6" xr3:uid="{FBB18F6C-27E4-42D9-9835-9152B6D0D871}" name="Estado_Op" dataDxfId="4"/>
    <tableColumn id="9" xr3:uid="{21A32989-F167-49C0-9D41-2BD3A8923998}" name="Fecha_Hora_Inicio" dataDxfId="3"/>
    <tableColumn id="8" xr3:uid="{713F74B7-95D9-4F96-AA1E-57E68B8A7FE7}" name="Fecha_Hora_Final" dataDxfId="2"/>
    <tableColumn id="11" xr3:uid="{20481209-2CB3-4DCC-A330-D866983AA4F9}" name="Motivo" dataDxfId="1"/>
    <tableColumn id="12" xr3:uid="{55FF6738-9798-4086-9AA1-DC8A3EF8081F}" name="Detalle" dataDxfId="0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11"/>
    <tableColumn id="3" xr3:uid="{A21A7F07-F50E-4006-B601-758B5E8BD7BE}" name="Fecha_Hora_Fin" dataDxfId="10"/>
    <tableColumn id="4" xr3:uid="{F49EC928-7A7A-47BB-9275-EDE8B8DF6BC7}" name="Días_de_Mantenimiento" dataDxfId="9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8"/>
  <sheetViews>
    <sheetView workbookViewId="0">
      <pane ySplit="10" topLeftCell="A337" activePane="bottomLeft" state="frozen"/>
      <selection pane="bottomLeft" activeCell="A349" sqref="A349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338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 x14ac:dyDescent="0.25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 x14ac:dyDescent="0.25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 x14ac:dyDescent="0.25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 x14ac:dyDescent="0.25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 x14ac:dyDescent="0.25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 x14ac:dyDescent="0.25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 x14ac:dyDescent="0.25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 x14ac:dyDescent="0.25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 x14ac:dyDescent="0.25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 x14ac:dyDescent="0.25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 x14ac:dyDescent="0.25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 x14ac:dyDescent="0.25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  <row r="346" spans="1:10" x14ac:dyDescent="0.25">
      <c r="A346" s="1">
        <v>336</v>
      </c>
      <c r="B346" s="13" t="s">
        <v>12</v>
      </c>
      <c r="C3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6" s="14">
        <v>0</v>
      </c>
      <c r="E346" s="13" t="s">
        <v>13</v>
      </c>
      <c r="F346" s="15">
        <v>46248.513888888891</v>
      </c>
      <c r="G346" s="15">
        <v>46248.813194444447</v>
      </c>
      <c r="H346" s="11" t="s">
        <v>106</v>
      </c>
      <c r="I346" s="11" t="s">
        <v>107</v>
      </c>
      <c r="J346" s="1" t="s">
        <v>23</v>
      </c>
    </row>
    <row r="347" spans="1:10" x14ac:dyDescent="0.25">
      <c r="A347" s="1">
        <v>337</v>
      </c>
      <c r="B347" s="13" t="s">
        <v>12</v>
      </c>
      <c r="C3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7" s="14">
        <v>262</v>
      </c>
      <c r="E347" s="13" t="s">
        <v>11</v>
      </c>
      <c r="F347" s="15">
        <v>46249.194444444445</v>
      </c>
      <c r="G347" s="15">
        <v>46249.208333333336</v>
      </c>
      <c r="H347" s="11" t="s">
        <v>108</v>
      </c>
      <c r="I347" s="11" t="s">
        <v>109</v>
      </c>
      <c r="J347" s="1" t="s">
        <v>23</v>
      </c>
    </row>
    <row r="348" spans="1:10" x14ac:dyDescent="0.25">
      <c r="A348" s="1">
        <v>338</v>
      </c>
      <c r="B348" s="13" t="s">
        <v>17</v>
      </c>
      <c r="C3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8" s="14">
        <v>70</v>
      </c>
      <c r="E348" s="13" t="s">
        <v>11</v>
      </c>
      <c r="F348" s="15">
        <v>46262.939583333333</v>
      </c>
      <c r="G348" s="15">
        <v>46250.243750000001</v>
      </c>
      <c r="H348" s="11" t="s">
        <v>110</v>
      </c>
      <c r="I348" s="11" t="s">
        <v>111</v>
      </c>
      <c r="J348" s="1" t="s">
        <v>23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tabSelected="1" workbookViewId="0">
      <selection activeCell="C6" sqref="C6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112</v>
      </c>
      <c r="D1" t="s">
        <v>113</v>
      </c>
    </row>
    <row r="2" spans="1:4" x14ac:dyDescent="0.25">
      <c r="A2" t="s">
        <v>16</v>
      </c>
      <c r="B2" t="s">
        <v>114</v>
      </c>
      <c r="C2">
        <v>245.84</v>
      </c>
      <c r="D2">
        <v>234.67</v>
      </c>
    </row>
    <row r="3" spans="1:4" x14ac:dyDescent="0.25">
      <c r="A3" t="s">
        <v>17</v>
      </c>
      <c r="B3" t="s">
        <v>114</v>
      </c>
      <c r="C3">
        <v>176.6</v>
      </c>
      <c r="D3">
        <v>161.15</v>
      </c>
    </row>
    <row r="4" spans="1:4" x14ac:dyDescent="0.25">
      <c r="A4" t="s">
        <v>19</v>
      </c>
      <c r="B4" t="s">
        <v>114</v>
      </c>
      <c r="C4">
        <v>174.26</v>
      </c>
      <c r="D4">
        <v>157.61000000000001</v>
      </c>
    </row>
    <row r="5" spans="1:4" x14ac:dyDescent="0.25">
      <c r="A5" t="s">
        <v>14</v>
      </c>
      <c r="B5" t="s">
        <v>114</v>
      </c>
      <c r="C5">
        <v>376.96</v>
      </c>
      <c r="D5">
        <v>347.95</v>
      </c>
    </row>
    <row r="6" spans="1:4" x14ac:dyDescent="0.25">
      <c r="A6" t="s">
        <v>12</v>
      </c>
      <c r="B6" t="s">
        <v>115</v>
      </c>
      <c r="C6">
        <v>399.41</v>
      </c>
      <c r="D6">
        <v>393.57</v>
      </c>
    </row>
    <row r="7" spans="1:4" x14ac:dyDescent="0.25">
      <c r="A7" t="s">
        <v>15</v>
      </c>
      <c r="B7" t="s">
        <v>115</v>
      </c>
      <c r="C7">
        <v>20</v>
      </c>
      <c r="D7">
        <v>19.87</v>
      </c>
    </row>
    <row r="8" spans="1:4" x14ac:dyDescent="0.25">
      <c r="A8" t="s">
        <v>20</v>
      </c>
      <c r="B8" t="s">
        <v>115</v>
      </c>
      <c r="C8">
        <v>21</v>
      </c>
      <c r="D8">
        <v>19.57</v>
      </c>
    </row>
    <row r="9" spans="1:4" x14ac:dyDescent="0.25">
      <c r="A9" t="s">
        <v>86</v>
      </c>
      <c r="B9" t="s">
        <v>115</v>
      </c>
      <c r="C9">
        <v>21</v>
      </c>
      <c r="D9">
        <v>19.86</v>
      </c>
    </row>
    <row r="10" spans="1:4" x14ac:dyDescent="0.25">
      <c r="A10" t="s">
        <v>10</v>
      </c>
      <c r="B10" t="s">
        <v>114</v>
      </c>
      <c r="C10">
        <v>131</v>
      </c>
      <c r="D10">
        <v>120</v>
      </c>
    </row>
    <row r="11" spans="1:4" x14ac:dyDescent="0.25">
      <c r="A11" t="s">
        <v>18</v>
      </c>
      <c r="B11" t="s">
        <v>114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C5" sqref="C5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116</v>
      </c>
      <c r="D1" t="s">
        <v>117</v>
      </c>
      <c r="E1" t="s">
        <v>7</v>
      </c>
    </row>
    <row r="2" spans="1:5" x14ac:dyDescent="0.25">
      <c r="A2" t="s">
        <v>14</v>
      </c>
      <c r="B2" s="3">
        <v>46023</v>
      </c>
      <c r="C2" s="3">
        <v>46254.999988425923</v>
      </c>
      <c r="D2" s="14">
        <v>214.99998842592322</v>
      </c>
      <c r="E2" t="s">
        <v>118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119</v>
      </c>
    </row>
    <row r="4" spans="1:5" x14ac:dyDescent="0.25">
      <c r="A4" t="s">
        <v>17</v>
      </c>
      <c r="B4" s="3">
        <v>46235</v>
      </c>
      <c r="C4" s="3">
        <v>46261.82984953704</v>
      </c>
      <c r="D4" s="14">
        <f>Indisp_Prog[[#This Row],[Fecha_Hora_Fin]]-Indisp_Prog[[#This Row],[Fecha_Hora_Inicio]]</f>
        <v>26.829849537039991</v>
      </c>
      <c r="E4" t="s">
        <v>120</v>
      </c>
    </row>
    <row r="5" spans="1:5" x14ac:dyDescent="0.25">
      <c r="A5" t="s">
        <v>12</v>
      </c>
      <c r="B5" s="3">
        <v>46330</v>
      </c>
      <c r="C5" s="3">
        <v>46348.999305555553</v>
      </c>
      <c r="D5" s="14">
        <v>18</v>
      </c>
      <c r="E5" t="s">
        <v>121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121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122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122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123</v>
      </c>
      <c r="C1" t="s">
        <v>124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86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schemas.microsoft.com/office/infopath/2007/PartnerControls"/>
    <ds:schemaRef ds:uri="33ab045e-9213-4eea-a9f2-a5b809105d1e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2026-09-09T11:56:29Z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