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gie.sharepoint.com/sites/OperacionesCentralMejillones-Administracin/Shared Documents/Administración/0.- Gerencia/02.- Operación/05.- EFOF_GEN_CL/05.- PRO/"/>
    </mc:Choice>
  </mc:AlternateContent>
  <xr:revisionPtr revIDLastSave="1442" documentId="8_{55EF2082-D0B7-4F26-90F5-434FA2717943}" xr6:coauthVersionLast="47" xr6:coauthVersionMax="47" xr10:uidLastSave="{653E942F-C15D-4EE1-9600-A2D4E938D2CB}"/>
  <bookViews>
    <workbookView xWindow="-120" yWindow="-120" windowWidth="29040" windowHeight="15720" xr2:uid="{E052323F-F4D0-446A-B69C-8F538CB3C6F5}"/>
  </bookViews>
  <sheets>
    <sheet name="BASE_DATOS_EVENTOS_GEN_CHILE" sheetId="1" r:id="rId1"/>
    <sheet name="POTENCIA_BRUTA_NETA_GEN_CHILE" sheetId="2" r:id="rId2"/>
    <sheet name="Mantenimientos_Programados" sheetId="3" r:id="rId3"/>
    <sheet name="Vigencia_Unidades" sheetId="4" r:id="rId4"/>
  </sheets>
  <definedNames>
    <definedName name="SegmentaciónDeDatos_Estado_Op">#N/A</definedName>
    <definedName name="SegmentaciónDeDatos_Sitio">#N/A</definedName>
    <definedName name="SegmentaciónDeDatos_Unidad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6" i="1" l="1"/>
  <c r="C355" i="1"/>
  <c r="C354" i="1"/>
  <c r="C353" i="1"/>
  <c r="D2" i="3"/>
  <c r="C352" i="1"/>
  <c r="C351" i="1"/>
  <c r="C350" i="1"/>
  <c r="C349" i="1"/>
  <c r="C348" i="1"/>
  <c r="D4" i="3"/>
  <c r="C347" i="1"/>
  <c r="C346" i="1"/>
  <c r="C339" i="1" l="1"/>
  <c r="C345" i="1"/>
  <c r="C342" i="1"/>
  <c r="C344" i="1"/>
  <c r="C343" i="1"/>
  <c r="C341" i="1"/>
  <c r="C340" i="1"/>
  <c r="C338" i="1"/>
  <c r="C337" i="1"/>
  <c r="C336" i="1"/>
  <c r="C335" i="1"/>
  <c r="C334" i="1"/>
  <c r="C333" i="1"/>
  <c r="D9" i="3"/>
  <c r="D8" i="3"/>
  <c r="C332" i="1"/>
  <c r="C331" i="1" l="1"/>
  <c r="C330" i="1"/>
  <c r="C329" i="1"/>
  <c r="C328" i="1"/>
  <c r="C325" i="1"/>
  <c r="C327" i="1" l="1"/>
  <c r="C326" i="1"/>
  <c r="C324" i="1"/>
  <c r="C323" i="1"/>
  <c r="C322" i="1"/>
  <c r="C319" i="1" l="1"/>
  <c r="C321" i="1"/>
  <c r="C320" i="1"/>
  <c r="C318" i="1"/>
  <c r="C317" i="1"/>
  <c r="C316" i="1"/>
  <c r="C315" i="1"/>
  <c r="C314" i="1"/>
  <c r="C313" i="1"/>
  <c r="C312" i="1"/>
  <c r="C311" i="1"/>
  <c r="C310" i="1"/>
  <c r="C309" i="1"/>
  <c r="C308" i="1" l="1"/>
  <c r="C307" i="1" l="1"/>
  <c r="C306" i="1"/>
  <c r="C305" i="1"/>
  <c r="C291" i="1" l="1"/>
  <c r="C304" i="1"/>
  <c r="C287" i="1" l="1"/>
  <c r="C288" i="1"/>
  <c r="C289" i="1"/>
  <c r="C290" i="1"/>
  <c r="C292" i="1"/>
  <c r="C293" i="1"/>
  <c r="C294" i="1"/>
  <c r="C295" i="1"/>
  <c r="C296" i="1"/>
  <c r="C297" i="1"/>
  <c r="C298" i="1"/>
  <c r="C299" i="1"/>
  <c r="C300" i="1"/>
  <c r="C301" i="1"/>
  <c r="C171" i="1"/>
  <c r="C178" i="1"/>
  <c r="C181" i="1"/>
  <c r="C182" i="1"/>
  <c r="C198" i="1"/>
  <c r="C205" i="1"/>
  <c r="C207" i="1"/>
  <c r="C210" i="1"/>
  <c r="C216" i="1"/>
  <c r="C221" i="1"/>
  <c r="C230" i="1"/>
  <c r="C239" i="1"/>
  <c r="C253" i="1"/>
  <c r="C266" i="1"/>
  <c r="C268" i="1"/>
  <c r="C281" i="1"/>
  <c r="C284" i="1"/>
  <c r="C165" i="1"/>
  <c r="C166" i="1"/>
  <c r="C173" i="1"/>
  <c r="C185" i="1"/>
  <c r="C186" i="1"/>
  <c r="C187" i="1"/>
  <c r="C188" i="1"/>
  <c r="C189" i="1"/>
  <c r="C192" i="1"/>
  <c r="C193" i="1"/>
  <c r="C212" i="1"/>
  <c r="C222" i="1"/>
  <c r="C226" i="1"/>
  <c r="C231" i="1"/>
  <c r="C243" i="1"/>
  <c r="C244" i="1"/>
  <c r="C246" i="1"/>
  <c r="C249" i="1"/>
  <c r="C282" i="1"/>
  <c r="C217" i="1"/>
  <c r="C197" i="1"/>
  <c r="C144" i="1"/>
  <c r="C145" i="1"/>
  <c r="C152" i="1"/>
  <c r="C155" i="1"/>
  <c r="C172" i="1"/>
  <c r="C191" i="1"/>
  <c r="C195" i="1"/>
  <c r="C206" i="1"/>
  <c r="C208" i="1"/>
  <c r="C235" i="1"/>
  <c r="C237" i="1"/>
  <c r="C245" i="1"/>
  <c r="C251" i="1"/>
  <c r="C252" i="1"/>
  <c r="C259" i="1"/>
  <c r="C283" i="1"/>
  <c r="C143" i="1"/>
  <c r="C146" i="1"/>
  <c r="C147" i="1"/>
  <c r="C149" i="1"/>
  <c r="C153" i="1"/>
  <c r="C154" i="1"/>
  <c r="C157" i="1"/>
  <c r="C158" i="1"/>
  <c r="C159" i="1"/>
  <c r="C161" i="1"/>
  <c r="C162" i="1"/>
  <c r="C163" i="1"/>
  <c r="C167" i="1"/>
  <c r="C168" i="1"/>
  <c r="C169" i="1"/>
  <c r="C170" i="1"/>
  <c r="C175" i="1"/>
  <c r="C176" i="1"/>
  <c r="C177" i="1"/>
  <c r="C179" i="1"/>
  <c r="C180" i="1"/>
  <c r="C183" i="1"/>
  <c r="C184" i="1"/>
  <c r="C190" i="1"/>
  <c r="C194" i="1"/>
  <c r="C196" i="1"/>
  <c r="C203" i="1"/>
  <c r="C214" i="1"/>
  <c r="C218" i="1"/>
  <c r="C219" i="1"/>
  <c r="C223" i="1"/>
  <c r="C225" i="1"/>
  <c r="C227" i="1"/>
  <c r="C229" i="1"/>
  <c r="C232" i="1"/>
  <c r="C233" i="1"/>
  <c r="C238" i="1"/>
  <c r="C241" i="1"/>
  <c r="C242" i="1"/>
  <c r="C247" i="1"/>
  <c r="C250" i="1"/>
  <c r="C254" i="1"/>
  <c r="C255" i="1"/>
  <c r="C263" i="1"/>
  <c r="C264" i="1"/>
  <c r="C273" i="1"/>
  <c r="C274" i="1"/>
  <c r="C275" i="1"/>
  <c r="C278" i="1"/>
  <c r="C279" i="1"/>
  <c r="C280" i="1"/>
  <c r="C285" i="1"/>
  <c r="C174" i="1"/>
  <c r="C202" i="1"/>
  <c r="C148" i="1"/>
  <c r="C156" i="1"/>
  <c r="C160" i="1"/>
  <c r="C164" i="1"/>
  <c r="C150" i="1"/>
  <c r="C151" i="1"/>
  <c r="C199" i="1"/>
  <c r="C200" i="1"/>
  <c r="C201" i="1"/>
  <c r="C204" i="1"/>
  <c r="C209" i="1"/>
  <c r="C211" i="1"/>
  <c r="C213" i="1"/>
  <c r="C215" i="1"/>
  <c r="C220" i="1"/>
  <c r="C224" i="1"/>
  <c r="C228" i="1"/>
  <c r="C234" i="1"/>
  <c r="C236" i="1"/>
  <c r="C240" i="1"/>
  <c r="C248" i="1"/>
  <c r="C256" i="1"/>
  <c r="C257" i="1"/>
  <c r="C258" i="1"/>
  <c r="C260" i="1"/>
  <c r="C261" i="1"/>
  <c r="C262" i="1"/>
  <c r="C265" i="1"/>
  <c r="C267" i="1"/>
  <c r="C269" i="1"/>
  <c r="C270" i="1"/>
  <c r="C271" i="1"/>
  <c r="C272" i="1"/>
  <c r="C276" i="1"/>
  <c r="C277" i="1"/>
  <c r="C11" i="1"/>
  <c r="C121" i="1"/>
  <c r="C133" i="1"/>
  <c r="C135" i="1"/>
  <c r="C136" i="1"/>
  <c r="C137" i="1"/>
  <c r="C139" i="1"/>
  <c r="C140" i="1"/>
  <c r="C25" i="1"/>
  <c r="C28" i="1"/>
  <c r="C29" i="1"/>
  <c r="C30" i="1"/>
  <c r="C31" i="1"/>
  <c r="C33" i="1"/>
  <c r="C34" i="1"/>
  <c r="C70" i="1"/>
  <c r="C122" i="1"/>
  <c r="C123" i="1"/>
  <c r="C134" i="1"/>
  <c r="C16" i="1"/>
  <c r="C32" i="1"/>
  <c r="C35" i="1"/>
  <c r="C51" i="1"/>
  <c r="C52" i="1"/>
  <c r="C74" i="1"/>
  <c r="C81" i="1"/>
  <c r="C87" i="1"/>
  <c r="C93" i="1"/>
  <c r="C103" i="1"/>
  <c r="C24" i="1"/>
  <c r="C40" i="1"/>
  <c r="C41" i="1"/>
  <c r="C45" i="1"/>
  <c r="C46" i="1"/>
  <c r="C47" i="1"/>
  <c r="C48" i="1"/>
  <c r="C49" i="1"/>
  <c r="C64" i="1"/>
  <c r="C66" i="1"/>
  <c r="C67" i="1"/>
  <c r="C69" i="1"/>
  <c r="C71" i="1"/>
  <c r="C72" i="1"/>
  <c r="C73" i="1"/>
  <c r="C76" i="1"/>
  <c r="C78" i="1"/>
  <c r="C118" i="1"/>
  <c r="C141" i="1"/>
  <c r="C142" i="1"/>
  <c r="C20" i="1"/>
  <c r="C22" i="1"/>
  <c r="C23" i="1"/>
  <c r="C43" i="1"/>
  <c r="C44" i="1"/>
  <c r="C62" i="1"/>
  <c r="C63" i="1"/>
  <c r="C65" i="1"/>
  <c r="C68" i="1"/>
  <c r="C77" i="1"/>
  <c r="C120" i="1"/>
  <c r="C13" i="1"/>
  <c r="C15" i="1"/>
  <c r="C19" i="1"/>
  <c r="C79" i="1"/>
  <c r="C80" i="1"/>
  <c r="C82" i="1"/>
  <c r="C101" i="1"/>
  <c r="C102" i="1"/>
  <c r="C119" i="1"/>
  <c r="C124" i="1"/>
  <c r="C138" i="1"/>
  <c r="C14" i="1"/>
  <c r="C17" i="1"/>
  <c r="C18" i="1"/>
  <c r="C26" i="1"/>
  <c r="C27" i="1"/>
  <c r="C36" i="1"/>
  <c r="C37" i="1"/>
  <c r="C38" i="1"/>
  <c r="C39" i="1"/>
  <c r="C42" i="1"/>
  <c r="C50" i="1"/>
  <c r="C57" i="1"/>
  <c r="C84" i="1"/>
  <c r="C88" i="1"/>
  <c r="C89" i="1"/>
  <c r="C90" i="1"/>
  <c r="C91" i="1"/>
  <c r="C92" i="1"/>
  <c r="C94" i="1"/>
  <c r="C95" i="1"/>
  <c r="C96" i="1"/>
  <c r="C97" i="1"/>
  <c r="C98" i="1"/>
  <c r="C99" i="1"/>
  <c r="C100" i="1"/>
  <c r="C104" i="1"/>
  <c r="C105" i="1"/>
  <c r="C108" i="1"/>
  <c r="C109" i="1"/>
  <c r="C110" i="1"/>
  <c r="C111" i="1"/>
  <c r="C113" i="1"/>
  <c r="C114" i="1"/>
  <c r="C12" i="1"/>
  <c r="C21" i="1"/>
  <c r="C53" i="1"/>
  <c r="C54" i="1"/>
  <c r="C55" i="1"/>
  <c r="C56" i="1"/>
  <c r="C58" i="1"/>
  <c r="C60" i="1"/>
  <c r="C75" i="1"/>
  <c r="C83" i="1"/>
  <c r="C85" i="1"/>
  <c r="C86" i="1"/>
  <c r="C112" i="1"/>
  <c r="C115" i="1"/>
  <c r="C116" i="1"/>
  <c r="C117" i="1"/>
  <c r="C125" i="1"/>
  <c r="C126" i="1"/>
  <c r="C127" i="1"/>
  <c r="C128" i="1"/>
  <c r="C129" i="1"/>
  <c r="C130" i="1"/>
  <c r="C131" i="1"/>
  <c r="C132" i="1"/>
  <c r="C59" i="1"/>
  <c r="C61" i="1"/>
  <c r="C106" i="1"/>
  <c r="C107" i="1"/>
  <c r="C302" i="1"/>
  <c r="C303" i="1"/>
  <c r="C286" i="1"/>
  <c r="A9" i="1" l="1"/>
</calcChain>
</file>

<file path=xl/sharedStrings.xml><?xml version="1.0" encoding="utf-8"?>
<sst xmlns="http://schemas.openxmlformats.org/spreadsheetml/2006/main" count="963" uniqueCount="131">
  <si>
    <t>ID</t>
  </si>
  <si>
    <t>Unidad</t>
  </si>
  <si>
    <t>Sitio</t>
  </si>
  <si>
    <t>Carga_Disponible</t>
  </si>
  <si>
    <t>Estado_Op</t>
  </si>
  <si>
    <t>Fecha_Hora_Inicio</t>
  </si>
  <si>
    <t>Fecha_Hora_Final</t>
  </si>
  <si>
    <t>Motivo</t>
  </si>
  <si>
    <t>Detalle</t>
  </si>
  <si>
    <t>Verificación</t>
  </si>
  <si>
    <t>CTM1</t>
  </si>
  <si>
    <t>LF</t>
  </si>
  <si>
    <t>U16</t>
  </si>
  <si>
    <t>DF</t>
  </si>
  <si>
    <t>IEM</t>
  </si>
  <si>
    <t>TG3</t>
  </si>
  <si>
    <t>CTM3</t>
  </si>
  <si>
    <t>CTA</t>
  </si>
  <si>
    <t>CTM2</t>
  </si>
  <si>
    <t>CTH</t>
  </si>
  <si>
    <t>TG1</t>
  </si>
  <si>
    <t>Falla sistema de enfriamiento principal</t>
  </si>
  <si>
    <t>Kit hidráulico se encuentra descalibrado, bba de respaldo no entra e/s</t>
  </si>
  <si>
    <t>Cerrado</t>
  </si>
  <si>
    <t>Alto consumo de agua en HRSG</t>
  </si>
  <si>
    <t>Rotura de tubo en banco de tubos del evaporador HP (HP EVA 1)</t>
  </si>
  <si>
    <t>Falla llama en cámaras de combustión</t>
  </si>
  <si>
    <t>Fuga en válvula de purga de aire hacia.</t>
  </si>
  <si>
    <t>Falla tarjeta PCU05</t>
  </si>
  <si>
    <t>Tarjeta falla por señal errónea desde Actuador v/v 3°admision produciendo el desenganche de la TV</t>
  </si>
  <si>
    <t>Trip TV</t>
  </si>
  <si>
    <t xml:space="preserve">Trip TV por falla en secuencia de toma de carga. </t>
  </si>
  <si>
    <t>Alta T° generador TG</t>
  </si>
  <si>
    <t>Alta temperatura en devanado generador por obstrucción en filtros enfriamiento circuito abierto</t>
  </si>
  <si>
    <t>Falla Bypass AP</t>
  </si>
  <si>
    <t>Falla posicionador</t>
  </si>
  <si>
    <t>Bajo nivel del domo AP</t>
  </si>
  <si>
    <t>Descontrol nivel del domo AP activando 2° bba agua alimentación operando v/v de seguridad.</t>
  </si>
  <si>
    <t>Alta T° descarga Bypass AP debido a que unidad se encontraba en plena carga ciclo abierto (Equipos no configurados para una carga &gt;135mw en ciclo abierto)</t>
  </si>
  <si>
    <t>Fallo en dámper de control VTI2</t>
  </si>
  <si>
    <t>Descalibración actuador dámper de control</t>
  </si>
  <si>
    <t>Bajo nivel del domo</t>
  </si>
  <si>
    <t>Trip LAC30 por baja presión aceite de lubricación (LAC20 se encuentra en manual y no arranca)</t>
  </si>
  <si>
    <t>falla v/v neumática LAC30</t>
  </si>
  <si>
    <t>Falla limite de cierre v/v recirculación mínima</t>
  </si>
  <si>
    <t>Fallo motor eléctrico LAC30 en el arranque</t>
  </si>
  <si>
    <t>Desbalance de resistencia en la bobina U. Aumento de corriente en el arranque.</t>
  </si>
  <si>
    <t>Trp TV por protección nivel del domo</t>
  </si>
  <si>
    <t>Falla skid hidráulico accionamiento abertura y cierre válvulas de descarga bbas. Booster</t>
  </si>
  <si>
    <t>Fallo en dámper de control VAP1</t>
  </si>
  <si>
    <t>brazo accionamiento dámper de control fracturado.</t>
  </si>
  <si>
    <t>Fallo Sistema de levante Generador TG</t>
  </si>
  <si>
    <t>Bomba sistema de levante lado generador TG en fallo</t>
  </si>
  <si>
    <t>Falla enfriamiento auxiliar.</t>
  </si>
  <si>
    <t>Alta T° en componentes auxiliares, unidad retirada de forma forzosa</t>
  </si>
  <si>
    <t>Falla v/v venteo línea de gas TG</t>
  </si>
  <si>
    <t>Falla de solenoide en v/v venteo línea de gas alimentación cámara de combustión TG.</t>
  </si>
  <si>
    <t>Baja presión aire sello piernas de retorno</t>
  </si>
  <si>
    <t>Corte de correas motriz HP N°3</t>
  </si>
  <si>
    <t>Desenganche por protección sobre velocidad</t>
  </si>
  <si>
    <t>Actua protección sobre velocidad por perturbaciones de señales en protección.</t>
  </si>
  <si>
    <t>Falla arranque unidad</t>
  </si>
  <si>
    <t>Filtros de succión bombas agua alimentación saturados.</t>
  </si>
  <si>
    <t>Inspección VTI2</t>
  </si>
  <si>
    <t>Se realiza inspección componentea, alinamiento, GAP en VTI2</t>
  </si>
  <si>
    <t>Rotura tubo de caldera</t>
  </si>
  <si>
    <t xml:space="preserve">Rotura tubo vapor SH </t>
  </si>
  <si>
    <t>Bajo nivel del Domo</t>
  </si>
  <si>
    <t>Trip LAC10 por baja presión de aceite, LAC30 trip por sobreflujo de descarga y LAC20 no entra en servicio de forma automatica</t>
  </si>
  <si>
    <t>Alta diferencia T° gases de escape</t>
  </si>
  <si>
    <t>Trip por diferencial de T° en los gases de escape (ensuciamineto del sensor de medición)</t>
  </si>
  <si>
    <t>Cambio motor eléctrico VAS1</t>
  </si>
  <si>
    <t>Se realiza cambio motor eléctrico VAS1 por alta temperatura en cojinete</t>
  </si>
  <si>
    <t>Posición de desviación VV IGB</t>
  </si>
  <si>
    <t>Falla en tarjeta de control de VIGB del sistema de admisión de aire al compresor de la turbina a gas.</t>
  </si>
  <si>
    <t>Trip Bba. Agua aliemntación LAC30 por baja presión de aceite.</t>
  </si>
  <si>
    <t>Alta T° descarga agua de mar</t>
  </si>
  <si>
    <t xml:space="preserve">Limpieza de cajas enfrimaineto principal condensador. </t>
  </si>
  <si>
    <t>Falla alimentadores de combustibles.</t>
  </si>
  <si>
    <t>Falla cadena de recuperación Alimentador N°5 y alimentador N°6 en reparación.</t>
  </si>
  <si>
    <t>Protección TV</t>
  </si>
  <si>
    <t>Falla sensor de T° de vapor ingreso TV</t>
  </si>
  <si>
    <t>Bajo caudal de enfriamiento al cond. Ppal.</t>
  </si>
  <si>
    <t>Falla bba PAJ53 y Paj33 lo cual deja indisponible el Sifon N°2 en cantara.</t>
  </si>
  <si>
    <t>Alto consumo de agua en caldera</t>
  </si>
  <si>
    <t>Ritura de tubos en calderRH1 y RH2</t>
  </si>
  <si>
    <t>TG2</t>
  </si>
  <si>
    <t>Falla en arranque</t>
  </si>
  <si>
    <t>Sistema de arranque en falla</t>
  </si>
  <si>
    <t>Inspección alimentador de carbón N°2</t>
  </si>
  <si>
    <t>Se retira de gran granulometria alojado al interior del alimentador de carbón N°2, alimentador de carbón N°4 indisponible</t>
  </si>
  <si>
    <t>Activación fuga de gas en TG</t>
  </si>
  <si>
    <t>Falla sensor detector de gas</t>
  </si>
  <si>
    <t>Descalople TV</t>
  </si>
  <si>
    <t>Altas vibraciónes TV cojinete N°5</t>
  </si>
  <si>
    <t>Falla en la partida</t>
  </si>
  <si>
    <t>Falla sistema de sincronismo</t>
  </si>
  <si>
    <t>Alta temperatura en generador</t>
  </si>
  <si>
    <t>Falla sistema enfriamiento</t>
  </si>
  <si>
    <t>Falla sistema combustible DO</t>
  </si>
  <si>
    <t>Obstrucción filtro de succión bombas de transferencia</t>
  </si>
  <si>
    <t>Sistema admisón compresor</t>
  </si>
  <si>
    <t>Filtro de admisión obstruido</t>
  </si>
  <si>
    <t>Obstrucciín filtro admisión</t>
  </si>
  <si>
    <t>Falla sistema de combustible a gas</t>
  </si>
  <si>
    <t>Falla valvúla control de gas a TG</t>
  </si>
  <si>
    <t>Cambio de filtro de admisión en caja intake</t>
  </si>
  <si>
    <t>Alta diferencia de presión filtro de admisión en caja intake</t>
  </si>
  <si>
    <t>Alta vibración descanso TV</t>
  </si>
  <si>
    <t>Se realiza desacople TV para iniciar proceso de calentamiento uniforme.</t>
  </si>
  <si>
    <t>Al DP filtrso succión bba LAC10/30</t>
  </si>
  <si>
    <t>Filtros de succión obstruidos bbas agua alimentación.</t>
  </si>
  <si>
    <t>P_Max_Bruta</t>
  </si>
  <si>
    <t>P_Max_Neta</t>
  </si>
  <si>
    <t>CEM</t>
  </si>
  <si>
    <t>CET</t>
  </si>
  <si>
    <t>Fecha_Hora_Fin</t>
  </si>
  <si>
    <t>Días_de_Mantenimiento</t>
  </si>
  <si>
    <t>Reconverción + TV Over C + BOP A</t>
  </si>
  <si>
    <t>Inspección TG</t>
  </si>
  <si>
    <t>Mant Tipo B</t>
  </si>
  <si>
    <t>Mant Tipo A</t>
  </si>
  <si>
    <t>Mant Correctivo</t>
  </si>
  <si>
    <t>FechaInicioVigencia</t>
  </si>
  <si>
    <t>FechaFinVigencia</t>
  </si>
  <si>
    <t>Retiro controlado TV</t>
  </si>
  <si>
    <t>Alarma alta presión sistema de lubricación.</t>
  </si>
  <si>
    <t>Alta vibración descanzo TV</t>
  </si>
  <si>
    <t>Bajo nivel del Domo MP</t>
  </si>
  <si>
    <t>Falla valvúla control nivel del Domo MP</t>
  </si>
  <si>
    <t>Falla en valvúla de gas, alimentación combustible a 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</si>
</sst>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22" fontId="0" fillId="0" borderId="0" xfId="0" applyNumberFormat="1"/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4" fontId="0" fillId="0" borderId="0" xfId="0" applyNumberFormat="1"/>
    <xf numFmtId="1" fontId="0" fillId="0" borderId="0" xfId="0" applyNumberFormat="1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1" formatCode="0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7" formatCode="dd/mm/yyyy\ h:mm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491542</xdr:colOff>
      <xdr:row>0</xdr:row>
      <xdr:rowOff>0</xdr:rowOff>
    </xdr:from>
    <xdr:to>
      <xdr:col>5</xdr:col>
      <xdr:colOff>949282</xdr:colOff>
      <xdr:row>3</xdr:row>
      <xdr:rowOff>137070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6" name="Unidad">
              <a:extLst>
                <a:ext uri="{FF2B5EF4-FFF2-40B4-BE49-F238E27FC236}">
                  <a16:creationId xmlns:a16="http://schemas.microsoft.com/office/drawing/2014/main" id="{F3661333-40D4-3E56-776F-B5D99F6E88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6462" y="0"/>
              <a:ext cx="4824000" cy="7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415290</xdr:colOff>
      <xdr:row>0</xdr:row>
      <xdr:rowOff>0</xdr:rowOff>
    </xdr:from>
    <xdr:to>
      <xdr:col>2</xdr:col>
      <xdr:colOff>225435</xdr:colOff>
      <xdr:row>3</xdr:row>
      <xdr:rowOff>137070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5" name="Sitio">
              <a:extLst>
                <a:ext uri="{FF2B5EF4-FFF2-40B4-BE49-F238E27FC236}">
                  <a16:creationId xmlns:a16="http://schemas.microsoft.com/office/drawing/2014/main" id="{A1E4E57B-21C8-38A7-B59E-E690080C50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5290" y="0"/>
              <a:ext cx="1105545" cy="7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1177290</xdr:colOff>
      <xdr:row>0</xdr:row>
      <xdr:rowOff>0</xdr:rowOff>
    </xdr:from>
    <xdr:to>
      <xdr:col>6</xdr:col>
      <xdr:colOff>873135</xdr:colOff>
      <xdr:row>3</xdr:row>
      <xdr:rowOff>137070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4" name="Estado_Op">
              <a:extLst>
                <a:ext uri="{FF2B5EF4-FFF2-40B4-BE49-F238E27FC236}">
                  <a16:creationId xmlns:a16="http://schemas.microsoft.com/office/drawing/2014/main" id="{D1F2DD51-EE74-878E-7EA7-8A26A0C306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_O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6090" y="0"/>
              <a:ext cx="1105545" cy="7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Unidad" xr10:uid="{0B0E7898-9F4D-40EA-9371-95A26F782DA2}" sourceName="Unidad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itio" xr10:uid="{E032C11E-4D66-4678-86ED-2F95DAEBE022}" sourceName="Sitio">
  <extLst>
    <x:ext xmlns:x15="http://schemas.microsoft.com/office/spreadsheetml/2010/11/main" uri="{2F2917AC-EB37-4324-AD4E-5DD8C200BD13}">
      <x15:tableSlicerCache tableId="1" column="7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_Op" xr10:uid="{9AA1EBF5-00D9-4FF9-AEB9-B5CC27685740}" sourceName="Estado_Op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nidad" xr10:uid="{2699D213-72BD-4C92-8EC8-B18CC8C46C39}" cache="SegmentaciónDeDatos_Unidad" caption="Unidad" columnCount="9" rowHeight="252000"/>
  <slicer name="Sitio" xr10:uid="{3B2C39AC-A726-4855-82A5-8582A650D052}" cache="SegmentaciónDeDatos_Sitio" caption="Sitio" columnCount="2" rowHeight="252000"/>
  <slicer name="Estado_Op" xr10:uid="{67A2558F-3F05-47B9-B635-BB04003C0E32}" cache="SegmentaciónDeDatos_Estado_Op" caption="Estado_Op" columnCount="2" rowHeight="252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87FAA9-1AA2-4036-9224-EC7F4966CB13}" name="BD_GEN_CL" displayName="BD_GEN_CL" ref="A10:J356" totalsRowShown="0" headerRowDxfId="8">
  <autoFilter ref="A10:J356" xr:uid="{BF87FAA9-1AA2-4036-9224-EC7F4966CB13}"/>
  <sortState xmlns:xlrd2="http://schemas.microsoft.com/office/spreadsheetml/2017/richdata2" ref="A11:I308">
    <sortCondition ref="F10:F308"/>
  </sortState>
  <tableColumns count="10">
    <tableColumn id="3" xr3:uid="{AFE823F6-980E-4E32-B4F4-6ECDE10F377D}" name="ID"/>
    <tableColumn id="1" xr3:uid="{CD000998-6E2C-4963-8605-37081D9C1A64}" name="Unidad" dataDxfId="7"/>
    <tableColumn id="7" xr3:uid="{542F6635-555D-4F04-8C27-263AF6E0C9F1}" name="Sitio" dataDxfId="6">
      <calculatedColumnFormula>IF(OR(BD_GEN_CL[[#This Row],[Unidad]]="CTM3",BD_GEN_CL[[#This Row],[Unidad]]="CTA",BD_GEN_CL[[#This Row],[Unidad]]="CTH",BD_GEN_CL[[#This Row],[Unidad]]="IEM",BD_GEN_CL[[#This Row],[Unidad]]="CTM1",BD_GEN_CL[[#This Row],[Unidad]]="CTM2"),"CEM","CET")</calculatedColumnFormula>
    </tableColumn>
    <tableColumn id="5" xr3:uid="{6D2AC534-BC70-4E36-815D-053C7EC9A0CE}" name="Carga_Disponible" dataDxfId="5"/>
    <tableColumn id="6" xr3:uid="{FBB18F6C-27E4-42D9-9835-9152B6D0D871}" name="Estado_Op" dataDxfId="4"/>
    <tableColumn id="9" xr3:uid="{21A32989-F167-49C0-9D41-2BD3A8923998}" name="Fecha_Hora_Inicio" dataDxfId="3"/>
    <tableColumn id="8" xr3:uid="{713F74B7-95D9-4F96-AA1E-57E68B8A7FE7}" name="Fecha_Hora_Final" dataDxfId="2"/>
    <tableColumn id="11" xr3:uid="{20481209-2CB3-4DCC-A330-D866983AA4F9}" name="Motivo" dataDxfId="1"/>
    <tableColumn id="12" xr3:uid="{55FF6738-9798-4086-9AA1-DC8A3EF8081F}" name="Detalle" dataDxfId="0"/>
    <tableColumn id="2" xr3:uid="{C2DE1A32-EBAC-4C95-A60E-FB6BAE643966}" name="Verific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D77DE8-423D-4E18-B2B1-E81341FCE2BA}" name="POT_BRUTA_NETA_GEN_CL" displayName="POT_BRUTA_NETA_GEN_CL" ref="A1:D11" totalsRowShown="0">
  <autoFilter ref="A1:D11" xr:uid="{BED77DE8-423D-4E18-B2B1-E81341FCE2BA}"/>
  <tableColumns count="4">
    <tableColumn id="1" xr3:uid="{29E122AF-0178-4594-8C05-305CAFEC0413}" name="Unidad"/>
    <tableColumn id="4" xr3:uid="{45393468-32D6-4B1B-A40D-5654582A7CFB}" name="Sitio"/>
    <tableColumn id="2" xr3:uid="{31EF1A29-2FEC-45AA-86D1-54948F842B5C}" name="P_Max_Bruta"/>
    <tableColumn id="3" xr3:uid="{FC42606E-6790-4EE7-93EE-733D752B858F}" name="P_Max_Ne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70A6C2-1511-4796-898C-4DDAC85DB998}" name="Indisp_Prog" displayName="Indisp_Prog" ref="A1:E9" totalsRowShown="0">
  <autoFilter ref="A1:E9" xr:uid="{F870A6C2-1511-4796-898C-4DDAC85DB998}"/>
  <sortState xmlns:xlrd2="http://schemas.microsoft.com/office/spreadsheetml/2017/richdata2" ref="A2:E6">
    <sortCondition ref="B1:B6"/>
  </sortState>
  <tableColumns count="5">
    <tableColumn id="1" xr3:uid="{1EEE0FFC-B699-4850-9A13-72CF6FB78CA6}" name="Unidad"/>
    <tableColumn id="2" xr3:uid="{BDB3B76C-8D9D-4A32-9C94-204172B9E68C}" name="Fecha_Hora_Inicio" dataDxfId="11"/>
    <tableColumn id="3" xr3:uid="{A21A7F07-F50E-4006-B601-758B5E8BD7BE}" name="Fecha_Hora_Fin" dataDxfId="10"/>
    <tableColumn id="4" xr3:uid="{F49EC928-7A7A-47BB-9275-EDE8B8DF6BC7}" name="Días_de_Mantenimiento" dataDxfId="9"/>
    <tableColumn id="5" xr3:uid="{E5C19B72-F1F0-4F1D-9466-99048BCEFC0C}" name="Moti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C60D57-0E2D-483F-B9C8-5C45338FDAA1}" name="Dim_VigenciaUnidades" displayName="Dim_VigenciaUnidades" ref="A1:C11" totalsRowShown="0">
  <autoFilter ref="A1:C11" xr:uid="{B3C60D57-0E2D-483F-B9C8-5C45338FDAA1}"/>
  <tableColumns count="3">
    <tableColumn id="1" xr3:uid="{A7E6D793-EA51-418E-B9C9-329368CB55EE}" name="Unidad"/>
    <tableColumn id="2" xr3:uid="{8DEEABEE-8862-4FC8-BA74-CE3E1DCFB52A}" name="FechaInicioVigencia"/>
    <tableColumn id="3" xr3:uid="{BBCC1632-A05B-4128-A7C3-5672E18E75A8}" name="FechaFinVig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341A5-48DC-491A-A7A3-9CB9E0074F67}">
  <dimension ref="A9:J356"/>
  <sheetViews>
    <sheetView tabSelected="1" workbookViewId="0">
      <pane ySplit="10" topLeftCell="A328" activePane="bottomLeft" state="frozen"/>
      <selection pane="bottomLeft" activeCell="H355" sqref="H355"/>
    </sheetView>
  </sheetViews>
  <sheetFormatPr baseColWidth="10" defaultColWidth="11.42578125" defaultRowHeight="15" x14ac:dyDescent="0.25"/>
  <cols>
    <col min="1" max="1" width="7.5703125" bestFit="1" customWidth="1"/>
    <col min="2" max="2" width="11.85546875" bestFit="1" customWidth="1"/>
    <col min="3" max="3" width="21.5703125" bestFit="1" customWidth="1"/>
    <col min="4" max="4" width="21.7109375" bestFit="1" customWidth="1"/>
    <col min="5" max="5" width="22" bestFit="1" customWidth="1"/>
    <col min="6" max="7" width="21.28515625" bestFit="1" customWidth="1"/>
    <col min="8" max="8" width="41.85546875" bestFit="1" customWidth="1"/>
    <col min="9" max="9" width="151.28515625" customWidth="1"/>
    <col min="10" max="10" width="16.28515625" bestFit="1" customWidth="1"/>
    <col min="11" max="11" width="12.7109375" customWidth="1"/>
    <col min="12" max="12" width="33.28515625" customWidth="1"/>
  </cols>
  <sheetData>
    <row r="9" spans="1:10" x14ac:dyDescent="0.25">
      <c r="A9" s="2">
        <f>SUBTOTAL(103,BD_GEN_CL[Unidad])</f>
        <v>344</v>
      </c>
    </row>
    <row r="10" spans="1:10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</row>
    <row r="11" spans="1:10" x14ac:dyDescent="0.25">
      <c r="A11" s="1">
        <v>1</v>
      </c>
      <c r="B11" s="13" t="s">
        <v>10</v>
      </c>
      <c r="C1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1" s="14">
        <v>124</v>
      </c>
      <c r="E11" s="13" t="s">
        <v>11</v>
      </c>
      <c r="F11" s="15">
        <v>44927</v>
      </c>
      <c r="G11" s="15">
        <v>44948.999988425923</v>
      </c>
      <c r="H11" s="11"/>
      <c r="I11" s="11"/>
    </row>
    <row r="12" spans="1:10" x14ac:dyDescent="0.25">
      <c r="A12" s="1">
        <v>2</v>
      </c>
      <c r="B12" s="13" t="s">
        <v>12</v>
      </c>
      <c r="C1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2" s="14">
        <v>0</v>
      </c>
      <c r="E12" s="13" t="s">
        <v>13</v>
      </c>
      <c r="F12" s="15">
        <v>44930.447916666664</v>
      </c>
      <c r="G12" s="15">
        <v>44936.604166666664</v>
      </c>
      <c r="H12" s="11"/>
      <c r="I12" s="11"/>
    </row>
    <row r="13" spans="1:10" x14ac:dyDescent="0.25">
      <c r="A13" s="1">
        <v>3</v>
      </c>
      <c r="B13" s="13" t="s">
        <v>14</v>
      </c>
      <c r="C1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3" s="14">
        <v>142</v>
      </c>
      <c r="E13" s="13" t="s">
        <v>11</v>
      </c>
      <c r="F13" s="15">
        <v>44933.134027777778</v>
      </c>
      <c r="G13" s="15">
        <v>44933.148611111108</v>
      </c>
      <c r="H13" s="11"/>
      <c r="I13" s="11"/>
    </row>
    <row r="14" spans="1:10" x14ac:dyDescent="0.25">
      <c r="A14" s="1">
        <v>4</v>
      </c>
      <c r="B14" s="13" t="s">
        <v>15</v>
      </c>
      <c r="C1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4" s="14">
        <v>0</v>
      </c>
      <c r="E14" s="13" t="s">
        <v>13</v>
      </c>
      <c r="F14" s="15">
        <v>44935.831250000003</v>
      </c>
      <c r="G14" s="15">
        <v>44936.634027777778</v>
      </c>
      <c r="H14" s="11"/>
      <c r="I14" s="11"/>
    </row>
    <row r="15" spans="1:10" x14ac:dyDescent="0.25">
      <c r="A15" s="1">
        <v>5</v>
      </c>
      <c r="B15" s="13" t="s">
        <v>14</v>
      </c>
      <c r="C1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5" s="14">
        <v>210</v>
      </c>
      <c r="E15" s="13" t="s">
        <v>11</v>
      </c>
      <c r="F15" s="15">
        <v>44939.951388888891</v>
      </c>
      <c r="G15" s="15">
        <v>44940.131944444445</v>
      </c>
      <c r="H15" s="11"/>
      <c r="I15" s="11"/>
    </row>
    <row r="16" spans="1:10" x14ac:dyDescent="0.25">
      <c r="A16" s="1">
        <v>6</v>
      </c>
      <c r="B16" s="13" t="s">
        <v>16</v>
      </c>
      <c r="C1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6" s="14">
        <v>0</v>
      </c>
      <c r="E16" s="13" t="s">
        <v>13</v>
      </c>
      <c r="F16" s="15">
        <v>44943.804166666669</v>
      </c>
      <c r="G16" s="15">
        <v>44943.836805555555</v>
      </c>
      <c r="H16" s="11"/>
      <c r="I16" s="11"/>
    </row>
    <row r="17" spans="1:9" x14ac:dyDescent="0.25">
      <c r="A17" s="1">
        <v>7</v>
      </c>
      <c r="B17" s="13" t="s">
        <v>15</v>
      </c>
      <c r="C1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7" s="14">
        <v>0</v>
      </c>
      <c r="E17" s="13" t="s">
        <v>13</v>
      </c>
      <c r="F17" s="15">
        <v>44949.084027777775</v>
      </c>
      <c r="G17" s="15">
        <v>44949.114583333336</v>
      </c>
      <c r="H17" s="11"/>
      <c r="I17" s="11"/>
    </row>
    <row r="18" spans="1:9" x14ac:dyDescent="0.25">
      <c r="A18" s="1">
        <v>8</v>
      </c>
      <c r="B18" s="13" t="s">
        <v>15</v>
      </c>
      <c r="C1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8" s="14">
        <v>0</v>
      </c>
      <c r="E18" s="13" t="s">
        <v>13</v>
      </c>
      <c r="F18" s="15">
        <v>44949.13958333333</v>
      </c>
      <c r="G18" s="15">
        <v>44949.381249999999</v>
      </c>
      <c r="H18" s="11"/>
      <c r="I18" s="11"/>
    </row>
    <row r="19" spans="1:9" x14ac:dyDescent="0.25">
      <c r="A19" s="1">
        <v>9</v>
      </c>
      <c r="B19" s="13" t="s">
        <v>14</v>
      </c>
      <c r="C1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9" s="14">
        <v>0</v>
      </c>
      <c r="E19" s="13" t="s">
        <v>13</v>
      </c>
      <c r="F19" s="15">
        <v>44950.40625</v>
      </c>
      <c r="G19" s="15">
        <v>45058.40625</v>
      </c>
      <c r="H19" s="11"/>
      <c r="I19" s="11"/>
    </row>
    <row r="20" spans="1:9" x14ac:dyDescent="0.25">
      <c r="A20" s="1">
        <v>10</v>
      </c>
      <c r="B20" s="13" t="s">
        <v>17</v>
      </c>
      <c r="C2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0" s="14">
        <v>0</v>
      </c>
      <c r="E20" s="13" t="s">
        <v>13</v>
      </c>
      <c r="F20" s="15">
        <v>44950.636111111111</v>
      </c>
      <c r="G20" s="15">
        <v>44955.435416666667</v>
      </c>
      <c r="H20" s="11"/>
      <c r="I20" s="11"/>
    </row>
    <row r="21" spans="1:9" x14ac:dyDescent="0.25">
      <c r="A21" s="1">
        <v>11</v>
      </c>
      <c r="B21" s="13" t="s">
        <v>12</v>
      </c>
      <c r="C2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1" s="14">
        <v>0</v>
      </c>
      <c r="E21" s="13" t="s">
        <v>13</v>
      </c>
      <c r="F21" s="15">
        <v>44955.75</v>
      </c>
      <c r="G21" s="15">
        <v>44956.302777777775</v>
      </c>
      <c r="H21" s="11"/>
      <c r="I21" s="11"/>
    </row>
    <row r="22" spans="1:9" x14ac:dyDescent="0.25">
      <c r="A22" s="1">
        <v>12</v>
      </c>
      <c r="B22" s="13" t="s">
        <v>17</v>
      </c>
      <c r="C2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2" s="14">
        <v>130</v>
      </c>
      <c r="E22" s="13" t="s">
        <v>11</v>
      </c>
      <c r="F22" s="15">
        <v>44955.777083333334</v>
      </c>
      <c r="G22" s="15">
        <v>44956.205555555556</v>
      </c>
      <c r="H22" s="11"/>
      <c r="I22" s="11"/>
    </row>
    <row r="23" spans="1:9" x14ac:dyDescent="0.25">
      <c r="A23" s="1">
        <v>13</v>
      </c>
      <c r="B23" s="13" t="s">
        <v>17</v>
      </c>
      <c r="C2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3" s="14">
        <v>140</v>
      </c>
      <c r="E23" s="13" t="s">
        <v>11</v>
      </c>
      <c r="F23" s="15">
        <v>44956.24722222222</v>
      </c>
      <c r="G23" s="15">
        <v>44959.87222222222</v>
      </c>
      <c r="H23" s="11"/>
      <c r="I23" s="11"/>
    </row>
    <row r="24" spans="1:9" x14ac:dyDescent="0.25">
      <c r="A24" s="1">
        <v>14</v>
      </c>
      <c r="B24" s="13" t="s">
        <v>17</v>
      </c>
      <c r="C2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4" s="14">
        <v>70</v>
      </c>
      <c r="E24" s="13" t="s">
        <v>11</v>
      </c>
      <c r="F24" s="15">
        <v>44957.265972222223</v>
      </c>
      <c r="G24" s="15">
        <v>44957.674305555556</v>
      </c>
      <c r="H24" s="11"/>
      <c r="I24" s="11"/>
    </row>
    <row r="25" spans="1:9" x14ac:dyDescent="0.25">
      <c r="A25" s="1">
        <v>15</v>
      </c>
      <c r="B25" s="13" t="s">
        <v>18</v>
      </c>
      <c r="C2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5" s="14">
        <v>0</v>
      </c>
      <c r="E25" s="13" t="s">
        <v>13</v>
      </c>
      <c r="F25" s="15">
        <v>44962.488888888889</v>
      </c>
      <c r="G25" s="15">
        <v>44964.259722222225</v>
      </c>
      <c r="H25" s="11"/>
      <c r="I25" s="11"/>
    </row>
    <row r="26" spans="1:9" x14ac:dyDescent="0.25">
      <c r="A26" s="1">
        <v>16</v>
      </c>
      <c r="B26" s="13" t="s">
        <v>15</v>
      </c>
      <c r="C2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6" s="14">
        <v>25</v>
      </c>
      <c r="E26" s="13" t="s">
        <v>11</v>
      </c>
      <c r="F26" s="15">
        <v>44962.875</v>
      </c>
      <c r="G26" s="15">
        <v>44962.918055555558</v>
      </c>
      <c r="H26" s="11"/>
      <c r="I26" s="11"/>
    </row>
    <row r="27" spans="1:9" x14ac:dyDescent="0.25">
      <c r="A27" s="1">
        <v>17</v>
      </c>
      <c r="B27" s="13" t="s">
        <v>15</v>
      </c>
      <c r="C2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7" s="14">
        <v>25</v>
      </c>
      <c r="E27" s="13" t="s">
        <v>11</v>
      </c>
      <c r="F27" s="15">
        <v>44963.838888888888</v>
      </c>
      <c r="G27" s="15">
        <v>44963.859027777777</v>
      </c>
      <c r="H27" s="11"/>
      <c r="I27" s="11"/>
    </row>
    <row r="28" spans="1:9" x14ac:dyDescent="0.25">
      <c r="A28" s="1">
        <v>18</v>
      </c>
      <c r="B28" s="13" t="s">
        <v>18</v>
      </c>
      <c r="C2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8" s="14">
        <v>100</v>
      </c>
      <c r="E28" s="13" t="s">
        <v>11</v>
      </c>
      <c r="F28" s="15">
        <v>44964.821527777778</v>
      </c>
      <c r="G28" s="15">
        <v>44966.21875</v>
      </c>
      <c r="H28" s="11"/>
      <c r="I28" s="11"/>
    </row>
    <row r="29" spans="1:9" x14ac:dyDescent="0.25">
      <c r="A29" s="1">
        <v>19</v>
      </c>
      <c r="B29" s="13" t="s">
        <v>18</v>
      </c>
      <c r="C2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9" s="14">
        <v>0</v>
      </c>
      <c r="E29" s="13" t="s">
        <v>13</v>
      </c>
      <c r="F29" s="15">
        <v>44966.500694444447</v>
      </c>
      <c r="G29" s="15">
        <v>44966.556944444441</v>
      </c>
      <c r="H29" s="11"/>
      <c r="I29" s="11"/>
    </row>
    <row r="30" spans="1:9" x14ac:dyDescent="0.25">
      <c r="A30" s="1">
        <v>20</v>
      </c>
      <c r="B30" s="13" t="s">
        <v>18</v>
      </c>
      <c r="C3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0" s="14">
        <v>0</v>
      </c>
      <c r="E30" s="13" t="s">
        <v>13</v>
      </c>
      <c r="F30" s="15">
        <v>44966.717361111114</v>
      </c>
      <c r="G30" s="15">
        <v>44966.847222222219</v>
      </c>
      <c r="H30" s="11"/>
      <c r="I30" s="11"/>
    </row>
    <row r="31" spans="1:9" x14ac:dyDescent="0.25">
      <c r="A31" s="1">
        <v>21</v>
      </c>
      <c r="B31" s="13" t="s">
        <v>18</v>
      </c>
      <c r="C3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1" s="14">
        <v>100</v>
      </c>
      <c r="E31" s="13" t="s">
        <v>11</v>
      </c>
      <c r="F31" s="15">
        <v>44967.847916666666</v>
      </c>
      <c r="G31" s="15">
        <v>44971.243055555555</v>
      </c>
      <c r="H31" s="11"/>
      <c r="I31" s="11"/>
    </row>
    <row r="32" spans="1:9" x14ac:dyDescent="0.25">
      <c r="A32" s="1">
        <v>22</v>
      </c>
      <c r="B32" s="13" t="s">
        <v>16</v>
      </c>
      <c r="C3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2" s="14">
        <v>0</v>
      </c>
      <c r="E32" s="13" t="s">
        <v>13</v>
      </c>
      <c r="F32" s="15">
        <v>44970.777777777781</v>
      </c>
      <c r="G32" s="15">
        <v>44970.931250000001</v>
      </c>
      <c r="H32" s="11"/>
      <c r="I32" s="11"/>
    </row>
    <row r="33" spans="1:9" x14ac:dyDescent="0.25">
      <c r="A33" s="1">
        <v>23</v>
      </c>
      <c r="B33" s="13" t="s">
        <v>18</v>
      </c>
      <c r="C3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3" s="14">
        <v>75</v>
      </c>
      <c r="E33" s="13" t="s">
        <v>11</v>
      </c>
      <c r="F33" s="15">
        <v>44971.243055555555</v>
      </c>
      <c r="G33" s="15">
        <v>44971.284722222219</v>
      </c>
      <c r="H33" s="11"/>
      <c r="I33" s="11"/>
    </row>
    <row r="34" spans="1:9" x14ac:dyDescent="0.25">
      <c r="A34" s="1">
        <v>24</v>
      </c>
      <c r="B34" s="13" t="s">
        <v>18</v>
      </c>
      <c r="C3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4" s="14">
        <v>100</v>
      </c>
      <c r="E34" s="13" t="s">
        <v>11</v>
      </c>
      <c r="F34" s="15">
        <v>44971.326388888891</v>
      </c>
      <c r="G34" s="15">
        <v>44973.822222222225</v>
      </c>
      <c r="H34" s="11"/>
      <c r="I34" s="11"/>
    </row>
    <row r="35" spans="1:9" x14ac:dyDescent="0.25">
      <c r="A35" s="1">
        <v>25</v>
      </c>
      <c r="B35" s="13" t="s">
        <v>16</v>
      </c>
      <c r="C3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5" s="14">
        <v>0</v>
      </c>
      <c r="E35" s="13" t="s">
        <v>13</v>
      </c>
      <c r="F35" s="15">
        <v>44972.761805555558</v>
      </c>
      <c r="G35" s="15">
        <v>44972.788888888892</v>
      </c>
      <c r="H35" s="11"/>
      <c r="I35" s="11"/>
    </row>
    <row r="36" spans="1:9" x14ac:dyDescent="0.25">
      <c r="A36" s="1">
        <v>26</v>
      </c>
      <c r="B36" s="13" t="s">
        <v>15</v>
      </c>
      <c r="C3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6" s="14">
        <v>30</v>
      </c>
      <c r="E36" s="13" t="s">
        <v>11</v>
      </c>
      <c r="F36" s="15">
        <v>44972.840277777781</v>
      </c>
      <c r="G36" s="15">
        <v>44973.10833333333</v>
      </c>
      <c r="H36" s="11"/>
      <c r="I36" s="11"/>
    </row>
    <row r="37" spans="1:9" x14ac:dyDescent="0.25">
      <c r="A37" s="1">
        <v>27</v>
      </c>
      <c r="B37" s="13" t="s">
        <v>15</v>
      </c>
      <c r="C3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7" s="14">
        <v>30</v>
      </c>
      <c r="E37" s="13" t="s">
        <v>11</v>
      </c>
      <c r="F37" s="15">
        <v>44973.10833333333</v>
      </c>
      <c r="G37" s="15">
        <v>44973.115972222222</v>
      </c>
      <c r="H37" s="11"/>
      <c r="I37" s="11"/>
    </row>
    <row r="38" spans="1:9" x14ac:dyDescent="0.25">
      <c r="A38" s="1">
        <v>28</v>
      </c>
      <c r="B38" s="13" t="s">
        <v>15</v>
      </c>
      <c r="C3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8" s="14">
        <v>30</v>
      </c>
      <c r="E38" s="13" t="s">
        <v>11</v>
      </c>
      <c r="F38" s="15">
        <v>44973.845138888886</v>
      </c>
      <c r="G38" s="15">
        <v>44973.849305555559</v>
      </c>
      <c r="H38" s="11"/>
      <c r="I38" s="11"/>
    </row>
    <row r="39" spans="1:9" x14ac:dyDescent="0.25">
      <c r="A39" s="1">
        <v>29</v>
      </c>
      <c r="B39" s="13" t="s">
        <v>15</v>
      </c>
      <c r="C3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9" s="14">
        <v>30</v>
      </c>
      <c r="E39" s="13" t="s">
        <v>11</v>
      </c>
      <c r="F39" s="15">
        <v>44973.849305555559</v>
      </c>
      <c r="G39" s="15">
        <v>44973.873611111114</v>
      </c>
      <c r="H39" s="11"/>
      <c r="I39" s="11"/>
    </row>
    <row r="40" spans="1:9" x14ac:dyDescent="0.25">
      <c r="A40" s="1">
        <v>30</v>
      </c>
      <c r="B40" s="13" t="s">
        <v>17</v>
      </c>
      <c r="C4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40" s="14">
        <v>0</v>
      </c>
      <c r="E40" s="13" t="s">
        <v>13</v>
      </c>
      <c r="F40" s="15">
        <v>44975</v>
      </c>
      <c r="G40" s="15">
        <v>44975.086111111108</v>
      </c>
      <c r="H40" s="11"/>
      <c r="I40" s="11"/>
    </row>
    <row r="41" spans="1:9" x14ac:dyDescent="0.25">
      <c r="A41" s="1">
        <v>31</v>
      </c>
      <c r="B41" s="13" t="s">
        <v>17</v>
      </c>
      <c r="C4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41" s="14">
        <v>0</v>
      </c>
      <c r="E41" s="13" t="s">
        <v>13</v>
      </c>
      <c r="F41" s="15">
        <v>44975.414583333331</v>
      </c>
      <c r="G41" s="15">
        <v>44977.013888888891</v>
      </c>
      <c r="H41" s="11"/>
      <c r="I41" s="11"/>
    </row>
    <row r="42" spans="1:9" x14ac:dyDescent="0.25">
      <c r="A42" s="1">
        <v>32</v>
      </c>
      <c r="B42" s="13" t="s">
        <v>15</v>
      </c>
      <c r="C4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42" s="14">
        <v>0</v>
      </c>
      <c r="E42" s="13" t="s">
        <v>13</v>
      </c>
      <c r="F42" s="15">
        <v>44978.819444444445</v>
      </c>
      <c r="G42" s="15">
        <v>44979.655555555553</v>
      </c>
      <c r="H42" s="11"/>
      <c r="I42" s="11"/>
    </row>
    <row r="43" spans="1:9" x14ac:dyDescent="0.25">
      <c r="A43" s="1">
        <v>33</v>
      </c>
      <c r="B43" s="13" t="s">
        <v>17</v>
      </c>
      <c r="C4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43" s="14">
        <v>85</v>
      </c>
      <c r="E43" s="13" t="s">
        <v>11</v>
      </c>
      <c r="F43" s="15">
        <v>44979.900694444441</v>
      </c>
      <c r="G43" s="15">
        <v>45027.920138888891</v>
      </c>
      <c r="H43" s="11"/>
      <c r="I43" s="11"/>
    </row>
    <row r="44" spans="1:9" x14ac:dyDescent="0.25">
      <c r="A44" s="1">
        <v>34</v>
      </c>
      <c r="B44" s="13" t="s">
        <v>17</v>
      </c>
      <c r="C4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44" s="14">
        <v>0</v>
      </c>
      <c r="E44" s="13" t="s">
        <v>13</v>
      </c>
      <c r="F44" s="15">
        <v>44980.459722222222</v>
      </c>
      <c r="G44" s="15">
        <v>44980.570833333331</v>
      </c>
      <c r="H44" s="11"/>
      <c r="I44" s="11"/>
    </row>
    <row r="45" spans="1:9" x14ac:dyDescent="0.25">
      <c r="A45" s="1">
        <v>35</v>
      </c>
      <c r="B45" s="13" t="s">
        <v>17</v>
      </c>
      <c r="C4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45" s="14">
        <v>70</v>
      </c>
      <c r="E45" s="13" t="s">
        <v>11</v>
      </c>
      <c r="F45" s="15">
        <v>44982.140277777777</v>
      </c>
      <c r="G45" s="15">
        <v>44983.041666666664</v>
      </c>
      <c r="H45" s="11"/>
      <c r="I45" s="11"/>
    </row>
    <row r="46" spans="1:9" x14ac:dyDescent="0.25">
      <c r="A46" s="1">
        <v>36</v>
      </c>
      <c r="B46" s="13" t="s">
        <v>17</v>
      </c>
      <c r="C4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46" s="14">
        <v>90</v>
      </c>
      <c r="E46" s="13" t="s">
        <v>11</v>
      </c>
      <c r="F46" s="15">
        <v>44983.083333333336</v>
      </c>
      <c r="G46" s="15">
        <v>44983.956250000003</v>
      </c>
      <c r="H46" s="11"/>
      <c r="I46" s="11"/>
    </row>
    <row r="47" spans="1:9" x14ac:dyDescent="0.25">
      <c r="A47" s="1">
        <v>37</v>
      </c>
      <c r="B47" s="13" t="s">
        <v>17</v>
      </c>
      <c r="C4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47" s="14">
        <v>130</v>
      </c>
      <c r="E47" s="13" t="s">
        <v>11</v>
      </c>
      <c r="F47" s="15">
        <v>44983.997916666667</v>
      </c>
      <c r="G47" s="15">
        <v>44984.229861111111</v>
      </c>
      <c r="H47" s="11"/>
      <c r="I47" s="11"/>
    </row>
    <row r="48" spans="1:9" x14ac:dyDescent="0.25">
      <c r="A48" s="1">
        <v>38</v>
      </c>
      <c r="B48" s="13" t="s">
        <v>17</v>
      </c>
      <c r="C4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48" s="14">
        <v>0</v>
      </c>
      <c r="E48" s="13" t="s">
        <v>13</v>
      </c>
      <c r="F48" s="15">
        <v>44994.680555555555</v>
      </c>
      <c r="G48" s="15">
        <v>44994.759027777778</v>
      </c>
      <c r="H48" s="11"/>
      <c r="I48" s="11"/>
    </row>
    <row r="49" spans="1:9" x14ac:dyDescent="0.25">
      <c r="A49" s="1">
        <v>39</v>
      </c>
      <c r="B49" s="13" t="s">
        <v>17</v>
      </c>
      <c r="C4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49" s="14">
        <v>0</v>
      </c>
      <c r="E49" s="13" t="s">
        <v>13</v>
      </c>
      <c r="F49" s="15">
        <v>44994.680555555555</v>
      </c>
      <c r="G49" s="15">
        <v>44994.759027777778</v>
      </c>
      <c r="H49" s="11"/>
      <c r="I49" s="11"/>
    </row>
    <row r="50" spans="1:9" x14ac:dyDescent="0.25">
      <c r="A50" s="1">
        <v>40</v>
      </c>
      <c r="B50" s="13" t="s">
        <v>15</v>
      </c>
      <c r="C5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50" s="14">
        <v>0</v>
      </c>
      <c r="E50" s="13" t="s">
        <v>13</v>
      </c>
      <c r="F50" s="15">
        <v>44995.305555555555</v>
      </c>
      <c r="G50" s="15">
        <v>44995.329861111109</v>
      </c>
      <c r="H50" s="11"/>
      <c r="I50" s="11"/>
    </row>
    <row r="51" spans="1:9" x14ac:dyDescent="0.25">
      <c r="A51" s="1">
        <v>41</v>
      </c>
      <c r="B51" s="13" t="s">
        <v>16</v>
      </c>
      <c r="C5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51" s="14">
        <v>0</v>
      </c>
      <c r="E51" s="13" t="s">
        <v>13</v>
      </c>
      <c r="F51" s="15">
        <v>44998.6875</v>
      </c>
      <c r="G51" s="15">
        <v>44998.717361111114</v>
      </c>
      <c r="H51" s="11"/>
      <c r="I51" s="11"/>
    </row>
    <row r="52" spans="1:9" x14ac:dyDescent="0.25">
      <c r="A52" s="1">
        <v>42</v>
      </c>
      <c r="B52" s="13" t="s">
        <v>16</v>
      </c>
      <c r="C5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52" s="14">
        <v>0</v>
      </c>
      <c r="E52" s="13" t="s">
        <v>13</v>
      </c>
      <c r="F52" s="15">
        <v>45003.220138888886</v>
      </c>
      <c r="G52" s="15">
        <v>45003.456944444442</v>
      </c>
      <c r="H52" s="11"/>
      <c r="I52" s="11"/>
    </row>
    <row r="53" spans="1:9" x14ac:dyDescent="0.25">
      <c r="A53" s="1">
        <v>43</v>
      </c>
      <c r="B53" s="13" t="s">
        <v>12</v>
      </c>
      <c r="C5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53" s="14">
        <v>0</v>
      </c>
      <c r="E53" s="13" t="s">
        <v>13</v>
      </c>
      <c r="F53" s="15">
        <v>45010.994444444441</v>
      </c>
      <c r="G53" s="15">
        <v>45011.052777777775</v>
      </c>
      <c r="H53" s="11"/>
      <c r="I53" s="11"/>
    </row>
    <row r="54" spans="1:9" x14ac:dyDescent="0.25">
      <c r="A54" s="1">
        <v>44</v>
      </c>
      <c r="B54" s="13" t="s">
        <v>12</v>
      </c>
      <c r="C5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54" s="14">
        <v>0</v>
      </c>
      <c r="E54" s="13" t="s">
        <v>13</v>
      </c>
      <c r="F54" s="15">
        <v>45011.21875</v>
      </c>
      <c r="G54" s="15">
        <v>45011.729861111111</v>
      </c>
      <c r="H54" s="11"/>
      <c r="I54" s="11"/>
    </row>
    <row r="55" spans="1:9" x14ac:dyDescent="0.25">
      <c r="A55" s="1">
        <v>45</v>
      </c>
      <c r="B55" s="13" t="s">
        <v>12</v>
      </c>
      <c r="C5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55" s="14">
        <v>0</v>
      </c>
      <c r="E55" s="13" t="s">
        <v>13</v>
      </c>
      <c r="F55" s="15">
        <v>45011.837500000001</v>
      </c>
      <c r="G55" s="15">
        <v>45012.869444444441</v>
      </c>
      <c r="H55" s="11"/>
      <c r="I55" s="11"/>
    </row>
    <row r="56" spans="1:9" x14ac:dyDescent="0.25">
      <c r="A56" s="1">
        <v>46</v>
      </c>
      <c r="B56" s="13" t="s">
        <v>12</v>
      </c>
      <c r="C5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56" s="14">
        <v>0</v>
      </c>
      <c r="E56" s="13" t="s">
        <v>13</v>
      </c>
      <c r="F56" s="15">
        <v>45013.126388888886</v>
      </c>
      <c r="G56" s="15">
        <v>45013.78402777778</v>
      </c>
      <c r="H56" s="11"/>
      <c r="I56" s="11"/>
    </row>
    <row r="57" spans="1:9" x14ac:dyDescent="0.25">
      <c r="A57" s="1">
        <v>47</v>
      </c>
      <c r="B57" s="13" t="s">
        <v>15</v>
      </c>
      <c r="C5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57" s="14">
        <v>0</v>
      </c>
      <c r="E57" s="13" t="s">
        <v>13</v>
      </c>
      <c r="F57" s="15">
        <v>45015.836111111108</v>
      </c>
      <c r="G57" s="15">
        <v>45016.656944444447</v>
      </c>
      <c r="H57" s="11"/>
      <c r="I57" s="11"/>
    </row>
    <row r="58" spans="1:9" x14ac:dyDescent="0.25">
      <c r="A58" s="1">
        <v>48</v>
      </c>
      <c r="B58" s="13" t="s">
        <v>12</v>
      </c>
      <c r="C5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58" s="14">
        <v>0</v>
      </c>
      <c r="E58" s="13" t="s">
        <v>13</v>
      </c>
      <c r="F58" s="15">
        <v>45017.836111111108</v>
      </c>
      <c r="G58" s="15">
        <v>45019.040277777778</v>
      </c>
      <c r="H58" s="11"/>
      <c r="I58" s="11"/>
    </row>
    <row r="59" spans="1:9" x14ac:dyDescent="0.25">
      <c r="A59" s="1">
        <v>49</v>
      </c>
      <c r="B59" s="13" t="s">
        <v>12</v>
      </c>
      <c r="C5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59" s="14">
        <v>189</v>
      </c>
      <c r="E59" s="13" t="s">
        <v>11</v>
      </c>
      <c r="F59" s="15">
        <v>45019.184027777781</v>
      </c>
      <c r="G59" s="15">
        <v>45019.308333333334</v>
      </c>
      <c r="H59" s="11"/>
      <c r="I59" s="11"/>
    </row>
    <row r="60" spans="1:9" x14ac:dyDescent="0.25">
      <c r="A60" s="1">
        <v>50</v>
      </c>
      <c r="B60" s="13" t="s">
        <v>12</v>
      </c>
      <c r="C6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60" s="14">
        <v>0</v>
      </c>
      <c r="E60" s="13" t="s">
        <v>13</v>
      </c>
      <c r="F60" s="15">
        <v>45020.996527777781</v>
      </c>
      <c r="G60" s="15">
        <v>45022.222222222219</v>
      </c>
      <c r="H60" s="11"/>
      <c r="I60" s="11"/>
    </row>
    <row r="61" spans="1:9" x14ac:dyDescent="0.25">
      <c r="A61" s="1">
        <v>51</v>
      </c>
      <c r="B61" s="13" t="s">
        <v>12</v>
      </c>
      <c r="C6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61" s="14">
        <v>189</v>
      </c>
      <c r="E61" s="13" t="s">
        <v>11</v>
      </c>
      <c r="F61" s="15">
        <v>45022.345138888886</v>
      </c>
      <c r="G61" s="15">
        <v>45022.351388888892</v>
      </c>
      <c r="H61" s="11"/>
      <c r="I61" s="11"/>
    </row>
    <row r="62" spans="1:9" x14ac:dyDescent="0.25">
      <c r="A62" s="1">
        <v>52</v>
      </c>
      <c r="B62" s="13" t="s">
        <v>17</v>
      </c>
      <c r="C6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62" s="14">
        <v>0</v>
      </c>
      <c r="E62" s="13" t="s">
        <v>13</v>
      </c>
      <c r="F62" s="15">
        <v>45026.704861111109</v>
      </c>
      <c r="G62" s="15">
        <v>45026.873611111114</v>
      </c>
      <c r="H62" s="11"/>
      <c r="I62" s="11"/>
    </row>
    <row r="63" spans="1:9" x14ac:dyDescent="0.25">
      <c r="A63" s="1">
        <v>53</v>
      </c>
      <c r="B63" s="13" t="s">
        <v>17</v>
      </c>
      <c r="C6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63" s="14">
        <v>85</v>
      </c>
      <c r="E63" s="13" t="s">
        <v>11</v>
      </c>
      <c r="F63" s="15">
        <v>45027.711111111108</v>
      </c>
      <c r="G63" s="15">
        <v>45027.920138888891</v>
      </c>
      <c r="H63" s="11"/>
      <c r="I63" s="11"/>
    </row>
    <row r="64" spans="1:9" x14ac:dyDescent="0.25">
      <c r="A64" s="1">
        <v>54</v>
      </c>
      <c r="B64" s="13" t="s">
        <v>17</v>
      </c>
      <c r="C6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64" s="14">
        <v>85</v>
      </c>
      <c r="E64" s="13" t="s">
        <v>11</v>
      </c>
      <c r="F64" s="15">
        <v>45027.71875</v>
      </c>
      <c r="G64" s="15">
        <v>45027.878472222219</v>
      </c>
      <c r="H64" s="11"/>
      <c r="I64" s="11"/>
    </row>
    <row r="65" spans="1:9" x14ac:dyDescent="0.25">
      <c r="A65" s="1">
        <v>55</v>
      </c>
      <c r="B65" s="13" t="s">
        <v>17</v>
      </c>
      <c r="C6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65" s="14">
        <v>0</v>
      </c>
      <c r="E65" s="13" t="s">
        <v>13</v>
      </c>
      <c r="F65" s="15">
        <v>45029.12777777778</v>
      </c>
      <c r="G65" s="15">
        <v>45760.663194444445</v>
      </c>
      <c r="H65" s="11"/>
      <c r="I65" s="11"/>
    </row>
    <row r="66" spans="1:9" x14ac:dyDescent="0.25">
      <c r="A66" s="1">
        <v>56</v>
      </c>
      <c r="B66" s="13" t="s">
        <v>17</v>
      </c>
      <c r="C6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66" s="14">
        <v>50</v>
      </c>
      <c r="E66" s="13" t="s">
        <v>11</v>
      </c>
      <c r="F66" s="15">
        <v>45035.295138888891</v>
      </c>
      <c r="G66" s="15">
        <v>45037.211805555555</v>
      </c>
      <c r="H66" s="11"/>
      <c r="I66" s="11"/>
    </row>
    <row r="67" spans="1:9" x14ac:dyDescent="0.25">
      <c r="A67" s="1">
        <v>57</v>
      </c>
      <c r="B67" s="13" t="s">
        <v>17</v>
      </c>
      <c r="C6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67" s="14">
        <v>115</v>
      </c>
      <c r="E67" s="13" t="s">
        <v>11</v>
      </c>
      <c r="F67" s="15">
        <v>45037.253472222219</v>
      </c>
      <c r="G67" s="15">
        <v>45037.425694444442</v>
      </c>
      <c r="H67" s="11"/>
      <c r="I67" s="11"/>
    </row>
    <row r="68" spans="1:9" x14ac:dyDescent="0.25">
      <c r="A68" s="1">
        <v>58</v>
      </c>
      <c r="B68" s="13" t="s">
        <v>17</v>
      </c>
      <c r="C6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68" s="14">
        <v>120</v>
      </c>
      <c r="E68" s="13" t="s">
        <v>11</v>
      </c>
      <c r="F68" s="15">
        <v>45037.783333333333</v>
      </c>
      <c r="G68" s="15">
        <v>45038.710416666669</v>
      </c>
      <c r="H68" s="11"/>
      <c r="I68" s="11"/>
    </row>
    <row r="69" spans="1:9" x14ac:dyDescent="0.25">
      <c r="A69" s="1">
        <v>59</v>
      </c>
      <c r="B69" s="13" t="s">
        <v>17</v>
      </c>
      <c r="C6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69" s="14">
        <v>145</v>
      </c>
      <c r="E69" s="13" t="s">
        <v>11</v>
      </c>
      <c r="F69" s="15">
        <v>45039.927083333336</v>
      </c>
      <c r="G69" s="15">
        <v>45042.29583333333</v>
      </c>
      <c r="H69" s="11"/>
      <c r="I69" s="11"/>
    </row>
    <row r="70" spans="1:9" x14ac:dyDescent="0.25">
      <c r="A70" s="1">
        <v>60</v>
      </c>
      <c r="B70" s="13" t="s">
        <v>18</v>
      </c>
      <c r="C7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70" s="14">
        <v>0</v>
      </c>
      <c r="E70" s="13" t="s">
        <v>13</v>
      </c>
      <c r="F70" s="15">
        <v>45040.813888888886</v>
      </c>
      <c r="G70" s="15">
        <v>45042.207638888889</v>
      </c>
      <c r="H70" s="11"/>
      <c r="I70" s="11"/>
    </row>
    <row r="71" spans="1:9" x14ac:dyDescent="0.25">
      <c r="A71" s="1">
        <v>61</v>
      </c>
      <c r="B71" s="13" t="s">
        <v>17</v>
      </c>
      <c r="C7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71" s="14">
        <v>0</v>
      </c>
      <c r="E71" s="13" t="s">
        <v>13</v>
      </c>
      <c r="F71" s="15">
        <v>45042.328472222223</v>
      </c>
      <c r="G71" s="15">
        <v>45042.781944444447</v>
      </c>
      <c r="H71" s="11"/>
      <c r="I71" s="11"/>
    </row>
    <row r="72" spans="1:9" x14ac:dyDescent="0.25">
      <c r="A72" s="1">
        <v>62</v>
      </c>
      <c r="B72" s="13" t="s">
        <v>17</v>
      </c>
      <c r="C7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72" s="14">
        <v>145</v>
      </c>
      <c r="E72" s="13" t="s">
        <v>11</v>
      </c>
      <c r="F72" s="15">
        <v>45042.781944444447</v>
      </c>
      <c r="G72" s="15">
        <v>45043.322916666664</v>
      </c>
      <c r="H72" s="11"/>
      <c r="I72" s="11"/>
    </row>
    <row r="73" spans="1:9" x14ac:dyDescent="0.25">
      <c r="A73" s="1">
        <v>63</v>
      </c>
      <c r="B73" s="13" t="s">
        <v>17</v>
      </c>
      <c r="C7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73" s="14">
        <v>165</v>
      </c>
      <c r="E73" s="13" t="s">
        <v>11</v>
      </c>
      <c r="F73" s="15">
        <v>45043.364583333336</v>
      </c>
      <c r="G73" s="15">
        <v>45049.923611111109</v>
      </c>
      <c r="H73" s="11"/>
      <c r="I73" s="11"/>
    </row>
    <row r="74" spans="1:9" x14ac:dyDescent="0.25">
      <c r="A74" s="1">
        <v>64</v>
      </c>
      <c r="B74" s="13" t="s">
        <v>16</v>
      </c>
      <c r="C7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74" s="14">
        <v>122</v>
      </c>
      <c r="E74" s="13" t="s">
        <v>11</v>
      </c>
      <c r="F74" s="15">
        <v>45047.042361111111</v>
      </c>
      <c r="G74" s="15">
        <v>45047.067361111112</v>
      </c>
      <c r="H74" s="11"/>
      <c r="I74" s="11"/>
    </row>
    <row r="75" spans="1:9" x14ac:dyDescent="0.25">
      <c r="A75" s="1">
        <v>65</v>
      </c>
      <c r="B75" s="13" t="s">
        <v>12</v>
      </c>
      <c r="C7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75" s="14">
        <v>0</v>
      </c>
      <c r="E75" s="13" t="s">
        <v>13</v>
      </c>
      <c r="F75" s="15">
        <v>45052.635416666664</v>
      </c>
      <c r="G75" s="15">
        <v>45052.774305555555</v>
      </c>
      <c r="H75" s="11"/>
      <c r="I75" s="11"/>
    </row>
    <row r="76" spans="1:9" x14ac:dyDescent="0.25">
      <c r="A76" s="1">
        <v>66</v>
      </c>
      <c r="B76" s="13" t="s">
        <v>17</v>
      </c>
      <c r="C7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76" s="14">
        <v>0</v>
      </c>
      <c r="E76" s="13" t="s">
        <v>13</v>
      </c>
      <c r="F76" s="15">
        <v>45055.776388888888</v>
      </c>
      <c r="G76" s="15">
        <v>45056.077777777777</v>
      </c>
      <c r="H76" s="11"/>
      <c r="I76" s="11"/>
    </row>
    <row r="77" spans="1:9" x14ac:dyDescent="0.25">
      <c r="A77" s="1">
        <v>67</v>
      </c>
      <c r="B77" s="13" t="s">
        <v>17</v>
      </c>
      <c r="C7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77" s="14">
        <v>96</v>
      </c>
      <c r="E77" s="13" t="s">
        <v>11</v>
      </c>
      <c r="F77" s="15">
        <v>45055.822222222225</v>
      </c>
      <c r="G77" s="15">
        <v>45056.186805555553</v>
      </c>
      <c r="H77" s="11"/>
      <c r="I77" s="11"/>
    </row>
    <row r="78" spans="1:9" x14ac:dyDescent="0.25">
      <c r="A78" s="1">
        <v>68</v>
      </c>
      <c r="B78" s="13" t="s">
        <v>17</v>
      </c>
      <c r="C7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78" s="14">
        <v>0</v>
      </c>
      <c r="E78" s="13" t="s">
        <v>13</v>
      </c>
      <c r="F78" s="15">
        <v>45058.507638888892</v>
      </c>
      <c r="G78" s="15">
        <v>45060.196527777778</v>
      </c>
      <c r="H78" s="11"/>
      <c r="I78" s="11"/>
    </row>
    <row r="79" spans="1:9" x14ac:dyDescent="0.25">
      <c r="A79" s="1">
        <v>69</v>
      </c>
      <c r="B79" s="13" t="s">
        <v>14</v>
      </c>
      <c r="C7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79" s="14">
        <v>120</v>
      </c>
      <c r="E79" s="13" t="s">
        <v>11</v>
      </c>
      <c r="F79" s="15">
        <v>45061.666666666664</v>
      </c>
      <c r="G79" s="15">
        <v>45061.993055555555</v>
      </c>
      <c r="H79" s="11"/>
      <c r="I79" s="11"/>
    </row>
    <row r="80" spans="1:9" x14ac:dyDescent="0.25">
      <c r="A80" s="1">
        <v>70</v>
      </c>
      <c r="B80" s="13" t="s">
        <v>14</v>
      </c>
      <c r="C8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80" s="14">
        <v>0</v>
      </c>
      <c r="E80" s="13" t="s">
        <v>13</v>
      </c>
      <c r="F80" s="15">
        <v>45068.156944444447</v>
      </c>
      <c r="G80" s="15">
        <v>45068.532638888886</v>
      </c>
      <c r="H80" s="11"/>
      <c r="I80" s="11"/>
    </row>
    <row r="81" spans="1:9" x14ac:dyDescent="0.25">
      <c r="A81" s="1">
        <v>71</v>
      </c>
      <c r="B81" s="13" t="s">
        <v>16</v>
      </c>
      <c r="C8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81" s="14">
        <v>0</v>
      </c>
      <c r="E81" s="13" t="s">
        <v>13</v>
      </c>
      <c r="F81" s="15">
        <v>45079.692361111112</v>
      </c>
      <c r="G81" s="15">
        <v>45079.728472222225</v>
      </c>
      <c r="H81" s="11"/>
      <c r="I81" s="11"/>
    </row>
    <row r="82" spans="1:9" x14ac:dyDescent="0.25">
      <c r="A82" s="1">
        <v>72</v>
      </c>
      <c r="B82" s="13" t="s">
        <v>14</v>
      </c>
      <c r="C8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82" s="14">
        <v>0</v>
      </c>
      <c r="E82" s="13" t="s">
        <v>13</v>
      </c>
      <c r="F82" s="15">
        <v>45080.038194444445</v>
      </c>
      <c r="G82" s="15">
        <v>45811.159722222219</v>
      </c>
      <c r="H82" s="11"/>
      <c r="I82" s="11"/>
    </row>
    <row r="83" spans="1:9" x14ac:dyDescent="0.25">
      <c r="A83" s="1">
        <v>73</v>
      </c>
      <c r="B83" s="13" t="s">
        <v>12</v>
      </c>
      <c r="C8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83" s="14">
        <v>0</v>
      </c>
      <c r="E83" s="13" t="s">
        <v>13</v>
      </c>
      <c r="F83" s="15">
        <v>45085.048611111109</v>
      </c>
      <c r="G83" s="15">
        <v>45085.130555555559</v>
      </c>
      <c r="H83" s="11"/>
      <c r="I83" s="11"/>
    </row>
    <row r="84" spans="1:9" x14ac:dyDescent="0.25">
      <c r="A84" s="1">
        <v>74</v>
      </c>
      <c r="B84" s="13" t="s">
        <v>15</v>
      </c>
      <c r="C8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84" s="14">
        <v>0</v>
      </c>
      <c r="E84" s="13" t="s">
        <v>13</v>
      </c>
      <c r="F84" s="15">
        <v>45085.109027777777</v>
      </c>
      <c r="G84" s="15">
        <v>45085.448611111111</v>
      </c>
      <c r="H84" s="11"/>
      <c r="I84" s="11"/>
    </row>
    <row r="85" spans="1:9" x14ac:dyDescent="0.25">
      <c r="A85" s="1">
        <v>75</v>
      </c>
      <c r="B85" s="13" t="s">
        <v>12</v>
      </c>
      <c r="C8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85" s="14">
        <v>0</v>
      </c>
      <c r="E85" s="13" t="s">
        <v>13</v>
      </c>
      <c r="F85" s="15">
        <v>45091.675000000003</v>
      </c>
      <c r="G85" s="15">
        <v>45091.741666666669</v>
      </c>
      <c r="H85" s="11"/>
      <c r="I85" s="11"/>
    </row>
    <row r="86" spans="1:9" x14ac:dyDescent="0.25">
      <c r="A86" s="1">
        <v>76</v>
      </c>
      <c r="B86" s="13" t="s">
        <v>12</v>
      </c>
      <c r="C8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86" s="14">
        <v>189</v>
      </c>
      <c r="E86" s="13" t="s">
        <v>11</v>
      </c>
      <c r="F86" s="15">
        <v>45094.098611111112</v>
      </c>
      <c r="G86" s="15">
        <v>45094.270833333336</v>
      </c>
      <c r="H86" s="11"/>
      <c r="I86" s="11"/>
    </row>
    <row r="87" spans="1:9" x14ac:dyDescent="0.25">
      <c r="A87" s="1">
        <v>77</v>
      </c>
      <c r="B87" s="13" t="s">
        <v>16</v>
      </c>
      <c r="C8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87" s="14">
        <v>0</v>
      </c>
      <c r="E87" s="13" t="s">
        <v>13</v>
      </c>
      <c r="F87" s="15">
        <v>45097.116666666669</v>
      </c>
      <c r="G87" s="15">
        <v>45097.741666666669</v>
      </c>
      <c r="H87" s="11"/>
      <c r="I87" s="11"/>
    </row>
    <row r="88" spans="1:9" x14ac:dyDescent="0.25">
      <c r="A88" s="1">
        <v>78</v>
      </c>
      <c r="B88" s="13" t="s">
        <v>15</v>
      </c>
      <c r="C8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88" s="14">
        <v>0</v>
      </c>
      <c r="E88" s="13" t="s">
        <v>13</v>
      </c>
      <c r="F88" s="15">
        <v>45105.760416666664</v>
      </c>
      <c r="G88" s="15">
        <v>45106.513194444444</v>
      </c>
      <c r="H88" s="11"/>
      <c r="I88" s="11"/>
    </row>
    <row r="89" spans="1:9" x14ac:dyDescent="0.25">
      <c r="A89" s="1">
        <v>79</v>
      </c>
      <c r="B89" s="13" t="s">
        <v>15</v>
      </c>
      <c r="C8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89" s="14">
        <v>0</v>
      </c>
      <c r="E89" s="13" t="s">
        <v>13</v>
      </c>
      <c r="F89" s="15">
        <v>45106.540277777778</v>
      </c>
      <c r="G89" s="15">
        <v>45106.757638888892</v>
      </c>
      <c r="H89" s="11"/>
      <c r="I89" s="11"/>
    </row>
    <row r="90" spans="1:9" x14ac:dyDescent="0.25">
      <c r="A90" s="1">
        <v>80</v>
      </c>
      <c r="B90" s="13" t="s">
        <v>15</v>
      </c>
      <c r="C9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90" s="14">
        <v>0</v>
      </c>
      <c r="E90" s="13" t="s">
        <v>13</v>
      </c>
      <c r="F90" s="15">
        <v>45107.772916666669</v>
      </c>
      <c r="G90" s="15">
        <v>45107.796527777777</v>
      </c>
      <c r="H90" s="11"/>
      <c r="I90" s="11"/>
    </row>
    <row r="91" spans="1:9" x14ac:dyDescent="0.25">
      <c r="A91" s="1">
        <v>81</v>
      </c>
      <c r="B91" s="13" t="s">
        <v>15</v>
      </c>
      <c r="C9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91" s="14">
        <v>0</v>
      </c>
      <c r="E91" s="13" t="s">
        <v>13</v>
      </c>
      <c r="F91" s="15">
        <v>45108.753472222219</v>
      </c>
      <c r="G91" s="15">
        <v>45108.77847222222</v>
      </c>
      <c r="H91" s="11"/>
      <c r="I91" s="11"/>
    </row>
    <row r="92" spans="1:9" x14ac:dyDescent="0.25">
      <c r="A92" s="1">
        <v>82</v>
      </c>
      <c r="B92" s="13" t="s">
        <v>15</v>
      </c>
      <c r="C9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92" s="14">
        <v>0</v>
      </c>
      <c r="E92" s="13" t="s">
        <v>13</v>
      </c>
      <c r="F92" s="15">
        <v>45108.842361111114</v>
      </c>
      <c r="G92" s="15">
        <v>45109.602777777778</v>
      </c>
      <c r="H92" s="11"/>
      <c r="I92" s="11"/>
    </row>
    <row r="93" spans="1:9" x14ac:dyDescent="0.25">
      <c r="A93" s="1">
        <v>83</v>
      </c>
      <c r="B93" s="13" t="s">
        <v>16</v>
      </c>
      <c r="C9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93" s="14">
        <v>0</v>
      </c>
      <c r="E93" s="13" t="s">
        <v>13</v>
      </c>
      <c r="F93" s="15">
        <v>45109.604166666664</v>
      </c>
      <c r="G93" s="15">
        <v>45109.711805555555</v>
      </c>
      <c r="H93" s="11"/>
      <c r="I93" s="11"/>
    </row>
    <row r="94" spans="1:9" x14ac:dyDescent="0.25">
      <c r="A94" s="1">
        <v>84</v>
      </c>
      <c r="B94" s="13" t="s">
        <v>15</v>
      </c>
      <c r="C9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94" s="14">
        <v>0</v>
      </c>
      <c r="E94" s="13" t="s">
        <v>13</v>
      </c>
      <c r="F94" s="15">
        <v>45109.62777777778</v>
      </c>
      <c r="G94" s="15">
        <v>45109.665277777778</v>
      </c>
      <c r="H94" s="11"/>
      <c r="I94" s="11"/>
    </row>
    <row r="95" spans="1:9" x14ac:dyDescent="0.25">
      <c r="A95" s="1">
        <v>85</v>
      </c>
      <c r="B95" s="13" t="s">
        <v>15</v>
      </c>
      <c r="C9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95" s="14">
        <v>0</v>
      </c>
      <c r="E95" s="13" t="s">
        <v>13</v>
      </c>
      <c r="F95" s="15">
        <v>45111.791666666664</v>
      </c>
      <c r="G95" s="15">
        <v>45111.816666666666</v>
      </c>
      <c r="H95" s="11"/>
      <c r="I95" s="11"/>
    </row>
    <row r="96" spans="1:9" x14ac:dyDescent="0.25">
      <c r="A96" s="1">
        <v>86</v>
      </c>
      <c r="B96" s="13" t="s">
        <v>15</v>
      </c>
      <c r="C9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96" s="14">
        <v>0</v>
      </c>
      <c r="E96" s="13" t="s">
        <v>13</v>
      </c>
      <c r="F96" s="15">
        <v>45113.779861111114</v>
      </c>
      <c r="G96" s="15">
        <v>45113.803472222222</v>
      </c>
      <c r="H96" s="11"/>
      <c r="I96" s="11"/>
    </row>
    <row r="97" spans="1:9" x14ac:dyDescent="0.25">
      <c r="A97" s="1">
        <v>87</v>
      </c>
      <c r="B97" s="13" t="s">
        <v>15</v>
      </c>
      <c r="C9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97" s="14">
        <v>0</v>
      </c>
      <c r="E97" s="13" t="s">
        <v>13</v>
      </c>
      <c r="F97" s="15">
        <v>45114.775694444441</v>
      </c>
      <c r="G97" s="15">
        <v>45114.79791666667</v>
      </c>
      <c r="H97" s="11"/>
      <c r="I97" s="11"/>
    </row>
    <row r="98" spans="1:9" x14ac:dyDescent="0.25">
      <c r="A98" s="1">
        <v>88</v>
      </c>
      <c r="B98" s="13" t="s">
        <v>15</v>
      </c>
      <c r="C9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98" s="14">
        <v>0</v>
      </c>
      <c r="E98" s="13" t="s">
        <v>13</v>
      </c>
      <c r="F98" s="15">
        <v>45117.761111111111</v>
      </c>
      <c r="G98" s="15">
        <v>45117.78402777778</v>
      </c>
      <c r="H98" s="11"/>
      <c r="I98" s="11"/>
    </row>
    <row r="99" spans="1:9" x14ac:dyDescent="0.25">
      <c r="A99" s="1">
        <v>89</v>
      </c>
      <c r="B99" s="13" t="s">
        <v>15</v>
      </c>
      <c r="C9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99" s="14">
        <v>0</v>
      </c>
      <c r="E99" s="13" t="s">
        <v>13</v>
      </c>
      <c r="F99" s="15">
        <v>45117.804166666669</v>
      </c>
      <c r="G99" s="15">
        <v>45118.673611111109</v>
      </c>
      <c r="H99" s="11"/>
      <c r="I99" s="11"/>
    </row>
    <row r="100" spans="1:9" x14ac:dyDescent="0.25">
      <c r="A100" s="1">
        <v>90</v>
      </c>
      <c r="B100" s="13" t="s">
        <v>15</v>
      </c>
      <c r="C10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00" s="14">
        <v>0</v>
      </c>
      <c r="E100" s="13" t="s">
        <v>13</v>
      </c>
      <c r="F100" s="15">
        <v>45120.70416666667</v>
      </c>
      <c r="G100" s="15">
        <v>45120.728472222225</v>
      </c>
      <c r="H100" s="11"/>
      <c r="I100" s="11"/>
    </row>
    <row r="101" spans="1:9" x14ac:dyDescent="0.25">
      <c r="A101" s="1">
        <v>91</v>
      </c>
      <c r="B101" s="13" t="s">
        <v>14</v>
      </c>
      <c r="C10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01" s="14">
        <v>0</v>
      </c>
      <c r="E101" s="13" t="s">
        <v>13</v>
      </c>
      <c r="F101" s="15">
        <v>45122.381944444445</v>
      </c>
      <c r="G101" s="15">
        <v>45122.477777777778</v>
      </c>
      <c r="H101" s="11"/>
      <c r="I101" s="11"/>
    </row>
    <row r="102" spans="1:9" x14ac:dyDescent="0.25">
      <c r="A102" s="1">
        <v>92</v>
      </c>
      <c r="B102" s="13" t="s">
        <v>14</v>
      </c>
      <c r="C10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02" s="14">
        <v>0</v>
      </c>
      <c r="E102" s="13" t="s">
        <v>13</v>
      </c>
      <c r="F102" s="15">
        <v>45122.54583333333</v>
      </c>
      <c r="G102" s="15">
        <v>45122.76458333333</v>
      </c>
      <c r="H102" s="11"/>
      <c r="I102" s="11"/>
    </row>
    <row r="103" spans="1:9" x14ac:dyDescent="0.25">
      <c r="A103" s="1">
        <v>93</v>
      </c>
      <c r="B103" s="13" t="s">
        <v>16</v>
      </c>
      <c r="C10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03" s="14">
        <v>0</v>
      </c>
      <c r="E103" s="13" t="s">
        <v>13</v>
      </c>
      <c r="F103" s="15">
        <v>45124.541666666664</v>
      </c>
      <c r="G103" s="15">
        <v>45124.86041666667</v>
      </c>
      <c r="H103" s="11"/>
      <c r="I103" s="11"/>
    </row>
    <row r="104" spans="1:9" x14ac:dyDescent="0.25">
      <c r="A104" s="1">
        <v>94</v>
      </c>
      <c r="B104" s="13" t="s">
        <v>15</v>
      </c>
      <c r="C10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04" s="14">
        <v>0</v>
      </c>
      <c r="E104" s="13" t="s">
        <v>13</v>
      </c>
      <c r="F104" s="15">
        <v>45126.739583333336</v>
      </c>
      <c r="G104" s="15">
        <v>45126.836111111108</v>
      </c>
      <c r="H104" s="11"/>
      <c r="I104" s="11"/>
    </row>
    <row r="105" spans="1:9" x14ac:dyDescent="0.25">
      <c r="A105" s="1">
        <v>95</v>
      </c>
      <c r="B105" s="13" t="s">
        <v>15</v>
      </c>
      <c r="C10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05" s="14">
        <v>0</v>
      </c>
      <c r="E105" s="13" t="s">
        <v>13</v>
      </c>
      <c r="F105" s="15">
        <v>45134.799305555556</v>
      </c>
      <c r="G105" s="15">
        <v>45135.665972222225</v>
      </c>
      <c r="H105" s="11"/>
      <c r="I105" s="11"/>
    </row>
    <row r="106" spans="1:9" x14ac:dyDescent="0.25">
      <c r="A106" s="1">
        <v>96</v>
      </c>
      <c r="B106" s="13" t="s">
        <v>12</v>
      </c>
      <c r="C10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06" s="14">
        <v>0</v>
      </c>
      <c r="E106" s="13" t="s">
        <v>13</v>
      </c>
      <c r="F106" s="15">
        <v>45137.817361111112</v>
      </c>
      <c r="G106" s="15">
        <v>45137.834027777775</v>
      </c>
      <c r="H106" s="11"/>
      <c r="I106" s="11"/>
    </row>
    <row r="107" spans="1:9" x14ac:dyDescent="0.25">
      <c r="A107" s="1">
        <v>97</v>
      </c>
      <c r="B107" s="13" t="s">
        <v>12</v>
      </c>
      <c r="C10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07" s="14">
        <v>0</v>
      </c>
      <c r="E107" s="13" t="s">
        <v>13</v>
      </c>
      <c r="F107" s="15">
        <v>45138</v>
      </c>
      <c r="G107" s="15">
        <v>45138.732638888891</v>
      </c>
      <c r="H107" s="11"/>
      <c r="I107" s="11"/>
    </row>
    <row r="108" spans="1:9" x14ac:dyDescent="0.25">
      <c r="A108" s="1">
        <v>98</v>
      </c>
      <c r="B108" s="13" t="s">
        <v>15</v>
      </c>
      <c r="C10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08" s="14">
        <v>0</v>
      </c>
      <c r="E108" s="13" t="s">
        <v>13</v>
      </c>
      <c r="F108" s="15">
        <v>45142.810416666667</v>
      </c>
      <c r="G108" s="15">
        <v>45142.830555555556</v>
      </c>
      <c r="H108" s="11"/>
      <c r="I108" s="11"/>
    </row>
    <row r="109" spans="1:9" x14ac:dyDescent="0.25">
      <c r="A109" s="1">
        <v>99</v>
      </c>
      <c r="B109" s="13" t="s">
        <v>15</v>
      </c>
      <c r="C10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09" s="14">
        <v>0</v>
      </c>
      <c r="E109" s="13" t="s">
        <v>13</v>
      </c>
      <c r="F109" s="15">
        <v>45143.791666666664</v>
      </c>
      <c r="G109" s="15">
        <v>45143.813888888886</v>
      </c>
      <c r="H109" s="11"/>
      <c r="I109" s="11"/>
    </row>
    <row r="110" spans="1:9" x14ac:dyDescent="0.25">
      <c r="A110" s="1">
        <v>100</v>
      </c>
      <c r="B110" s="13" t="s">
        <v>15</v>
      </c>
      <c r="C11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10" s="14">
        <v>0</v>
      </c>
      <c r="E110" s="13" t="s">
        <v>13</v>
      </c>
      <c r="F110" s="15">
        <v>45145.788888888892</v>
      </c>
      <c r="G110" s="15">
        <v>45145.80972222222</v>
      </c>
      <c r="H110" s="11"/>
      <c r="I110" s="11"/>
    </row>
    <row r="111" spans="1:9" x14ac:dyDescent="0.25">
      <c r="A111" s="1">
        <v>101</v>
      </c>
      <c r="B111" s="13" t="s">
        <v>15</v>
      </c>
      <c r="C11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11" s="14">
        <v>0</v>
      </c>
      <c r="E111" s="13" t="s">
        <v>13</v>
      </c>
      <c r="F111" s="15">
        <v>45146.311111111114</v>
      </c>
      <c r="G111" s="15">
        <v>45146.335416666669</v>
      </c>
      <c r="H111" s="11"/>
      <c r="I111" s="11"/>
    </row>
    <row r="112" spans="1:9" x14ac:dyDescent="0.25">
      <c r="A112" s="1">
        <v>102</v>
      </c>
      <c r="B112" s="13" t="s">
        <v>12</v>
      </c>
      <c r="C11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12" s="14">
        <v>0</v>
      </c>
      <c r="E112" s="13" t="s">
        <v>13</v>
      </c>
      <c r="F112" s="15">
        <v>45148.792361111111</v>
      </c>
      <c r="G112" s="15">
        <v>45148.863194444442</v>
      </c>
      <c r="H112" s="11"/>
      <c r="I112" s="11"/>
    </row>
    <row r="113" spans="1:9" x14ac:dyDescent="0.25">
      <c r="A113" s="1">
        <v>103</v>
      </c>
      <c r="B113" s="13" t="s">
        <v>15</v>
      </c>
      <c r="C11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13" s="14">
        <v>0</v>
      </c>
      <c r="E113" s="13" t="s">
        <v>13</v>
      </c>
      <c r="F113" s="15">
        <v>45157.870138888888</v>
      </c>
      <c r="G113" s="15">
        <v>45157.893055555556</v>
      </c>
      <c r="H113" s="11"/>
      <c r="I113" s="11"/>
    </row>
    <row r="114" spans="1:9" x14ac:dyDescent="0.25">
      <c r="A114" s="1">
        <v>104</v>
      </c>
      <c r="B114" s="13" t="s">
        <v>15</v>
      </c>
      <c r="C11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14" s="14">
        <v>0</v>
      </c>
      <c r="E114" s="13" t="s">
        <v>13</v>
      </c>
      <c r="F114" s="15">
        <v>45159.308333333334</v>
      </c>
      <c r="G114" s="15">
        <v>45159.355555555558</v>
      </c>
      <c r="H114" s="11"/>
      <c r="I114" s="11"/>
    </row>
    <row r="115" spans="1:9" x14ac:dyDescent="0.25">
      <c r="A115" s="1">
        <v>105</v>
      </c>
      <c r="B115" s="13" t="s">
        <v>12</v>
      </c>
      <c r="C11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15" s="14">
        <v>0</v>
      </c>
      <c r="E115" s="13" t="s">
        <v>13</v>
      </c>
      <c r="F115" s="15">
        <v>45169.604166666664</v>
      </c>
      <c r="G115" s="15">
        <v>45170.854166666664</v>
      </c>
      <c r="H115" s="11"/>
      <c r="I115" s="11"/>
    </row>
    <row r="116" spans="1:9" x14ac:dyDescent="0.25">
      <c r="A116" s="1">
        <v>106</v>
      </c>
      <c r="B116" s="13" t="s">
        <v>12</v>
      </c>
      <c r="C11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16" s="14">
        <v>0</v>
      </c>
      <c r="E116" s="13" t="s">
        <v>13</v>
      </c>
      <c r="F116" s="15">
        <v>45171.625</v>
      </c>
      <c r="G116" s="15">
        <v>45171.772222222222</v>
      </c>
      <c r="H116" s="11"/>
      <c r="I116" s="11"/>
    </row>
    <row r="117" spans="1:9" x14ac:dyDescent="0.25">
      <c r="A117" s="1">
        <v>107</v>
      </c>
      <c r="B117" s="13" t="s">
        <v>12</v>
      </c>
      <c r="C11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17" s="14">
        <v>0</v>
      </c>
      <c r="E117" s="13" t="s">
        <v>13</v>
      </c>
      <c r="F117" s="15">
        <v>45177.047222222223</v>
      </c>
      <c r="G117" s="15">
        <v>45177.161111111112</v>
      </c>
      <c r="H117" s="11"/>
      <c r="I117" s="11"/>
    </row>
    <row r="118" spans="1:9" x14ac:dyDescent="0.25">
      <c r="A118" s="1">
        <v>108</v>
      </c>
      <c r="B118" s="13" t="s">
        <v>17</v>
      </c>
      <c r="C11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18" s="14">
        <v>0</v>
      </c>
      <c r="E118" s="13" t="s">
        <v>13</v>
      </c>
      <c r="F118" s="15">
        <v>45194.831944444442</v>
      </c>
      <c r="G118" s="15">
        <v>45195.220138888886</v>
      </c>
      <c r="H118" s="11"/>
      <c r="I118" s="11"/>
    </row>
    <row r="119" spans="1:9" x14ac:dyDescent="0.25">
      <c r="A119" s="1">
        <v>109</v>
      </c>
      <c r="B119" s="13" t="s">
        <v>14</v>
      </c>
      <c r="C11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19" s="14">
        <v>110</v>
      </c>
      <c r="E119" s="13" t="s">
        <v>11</v>
      </c>
      <c r="F119" s="15">
        <v>45196.001388888886</v>
      </c>
      <c r="G119" s="15">
        <v>45196.131944444445</v>
      </c>
      <c r="H119" s="11"/>
      <c r="I119" s="11"/>
    </row>
    <row r="120" spans="1:9" x14ac:dyDescent="0.25">
      <c r="A120" s="1">
        <v>110</v>
      </c>
      <c r="B120" s="13" t="s">
        <v>17</v>
      </c>
      <c r="C12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20" s="14">
        <v>0</v>
      </c>
      <c r="E120" s="13" t="s">
        <v>13</v>
      </c>
      <c r="F120" s="15">
        <v>45196.293749999997</v>
      </c>
      <c r="G120" s="15">
        <v>45196.401388888888</v>
      </c>
      <c r="H120" s="11"/>
      <c r="I120" s="11"/>
    </row>
    <row r="121" spans="1:9" x14ac:dyDescent="0.25">
      <c r="A121" s="1">
        <v>111</v>
      </c>
      <c r="B121" s="13" t="s">
        <v>10</v>
      </c>
      <c r="C12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21" s="14">
        <v>0</v>
      </c>
      <c r="E121" s="13" t="s">
        <v>13</v>
      </c>
      <c r="F121" s="15">
        <v>45196.320138888892</v>
      </c>
      <c r="G121" s="15">
        <v>45210.510416666664</v>
      </c>
      <c r="H121" s="11"/>
      <c r="I121" s="11"/>
    </row>
    <row r="122" spans="1:9" x14ac:dyDescent="0.25">
      <c r="A122" s="1">
        <v>112</v>
      </c>
      <c r="B122" s="13" t="s">
        <v>18</v>
      </c>
      <c r="C12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22" s="14">
        <v>0</v>
      </c>
      <c r="E122" s="13" t="s">
        <v>13</v>
      </c>
      <c r="F122" s="15">
        <v>45197.996527777781</v>
      </c>
      <c r="G122" s="15">
        <v>45199.082638888889</v>
      </c>
      <c r="H122" s="11"/>
      <c r="I122" s="11"/>
    </row>
    <row r="123" spans="1:9" x14ac:dyDescent="0.25">
      <c r="A123" s="1">
        <v>113</v>
      </c>
      <c r="B123" s="13" t="s">
        <v>18</v>
      </c>
      <c r="C12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23" s="14">
        <v>0</v>
      </c>
      <c r="E123" s="13" t="s">
        <v>13</v>
      </c>
      <c r="F123" s="15">
        <v>45198.865277777775</v>
      </c>
      <c r="G123" s="15">
        <v>45209.604166666664</v>
      </c>
      <c r="H123" s="11"/>
      <c r="I123" s="11"/>
    </row>
    <row r="124" spans="1:9" x14ac:dyDescent="0.25">
      <c r="A124" s="1">
        <v>114</v>
      </c>
      <c r="B124" s="13" t="s">
        <v>14</v>
      </c>
      <c r="C12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24" s="14">
        <v>260</v>
      </c>
      <c r="E124" s="13" t="s">
        <v>11</v>
      </c>
      <c r="F124" s="15">
        <v>45202.789583333331</v>
      </c>
      <c r="G124" s="15">
        <v>45202.998611111114</v>
      </c>
      <c r="H124" s="11"/>
      <c r="I124" s="11"/>
    </row>
    <row r="125" spans="1:9" x14ac:dyDescent="0.25">
      <c r="A125" s="1">
        <v>115</v>
      </c>
      <c r="B125" s="13" t="s">
        <v>12</v>
      </c>
      <c r="C12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25" s="14">
        <v>0</v>
      </c>
      <c r="E125" s="13" t="s">
        <v>13</v>
      </c>
      <c r="F125" s="15">
        <v>45207.118055555555</v>
      </c>
      <c r="G125" s="15">
        <v>45207.17291666667</v>
      </c>
      <c r="H125" s="11"/>
      <c r="I125" s="11"/>
    </row>
    <row r="126" spans="1:9" x14ac:dyDescent="0.25">
      <c r="A126" s="1">
        <v>116</v>
      </c>
      <c r="B126" s="13" t="s">
        <v>12</v>
      </c>
      <c r="C12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26" s="14">
        <v>0</v>
      </c>
      <c r="E126" s="13" t="s">
        <v>13</v>
      </c>
      <c r="F126" s="15">
        <v>45232.663194444445</v>
      </c>
      <c r="G126" s="15">
        <v>45232.692361111112</v>
      </c>
      <c r="H126" s="11"/>
      <c r="I126" s="11"/>
    </row>
    <row r="127" spans="1:9" x14ac:dyDescent="0.25">
      <c r="A127" s="1">
        <v>117</v>
      </c>
      <c r="B127" s="13" t="s">
        <v>12</v>
      </c>
      <c r="C12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27" s="14">
        <v>0</v>
      </c>
      <c r="E127" s="13" t="s">
        <v>13</v>
      </c>
      <c r="F127" s="15">
        <v>45235.90625</v>
      </c>
      <c r="G127" s="15">
        <v>45236</v>
      </c>
      <c r="H127" s="11"/>
      <c r="I127" s="11"/>
    </row>
    <row r="128" spans="1:9" x14ac:dyDescent="0.25">
      <c r="A128" s="1">
        <v>118</v>
      </c>
      <c r="B128" s="13" t="s">
        <v>12</v>
      </c>
      <c r="C12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28" s="14">
        <v>0</v>
      </c>
      <c r="E128" s="13" t="s">
        <v>13</v>
      </c>
      <c r="F128" s="15">
        <v>45236</v>
      </c>
      <c r="G128" s="15">
        <v>45236.02847222222</v>
      </c>
      <c r="H128" s="11"/>
      <c r="I128" s="11"/>
    </row>
    <row r="129" spans="1:9" x14ac:dyDescent="0.25">
      <c r="A129" s="1">
        <v>119</v>
      </c>
      <c r="B129" s="13" t="s">
        <v>12</v>
      </c>
      <c r="C12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29" s="14">
        <v>0</v>
      </c>
      <c r="E129" s="13" t="s">
        <v>13</v>
      </c>
      <c r="F129" s="15">
        <v>45260.151388888888</v>
      </c>
      <c r="G129" s="15">
        <v>45260.208333333336</v>
      </c>
      <c r="H129" s="11"/>
      <c r="I129" s="11"/>
    </row>
    <row r="130" spans="1:9" x14ac:dyDescent="0.25">
      <c r="A130" s="1">
        <v>120</v>
      </c>
      <c r="B130" s="13" t="s">
        <v>12</v>
      </c>
      <c r="C13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30" s="14">
        <v>0</v>
      </c>
      <c r="E130" s="13" t="s">
        <v>13</v>
      </c>
      <c r="F130" s="15">
        <v>45260.666666666664</v>
      </c>
      <c r="G130" s="15">
        <v>45260.786111111112</v>
      </c>
      <c r="H130" s="11"/>
      <c r="I130" s="11"/>
    </row>
    <row r="131" spans="1:9" x14ac:dyDescent="0.25">
      <c r="A131" s="1">
        <v>121</v>
      </c>
      <c r="B131" s="13" t="s">
        <v>12</v>
      </c>
      <c r="C13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31" s="14">
        <v>0</v>
      </c>
      <c r="E131" s="13" t="s">
        <v>13</v>
      </c>
      <c r="F131" s="15">
        <v>45260.869444444441</v>
      </c>
      <c r="G131" s="15">
        <v>45261.086111111108</v>
      </c>
      <c r="H131" s="11"/>
      <c r="I131" s="11"/>
    </row>
    <row r="132" spans="1:9" x14ac:dyDescent="0.25">
      <c r="A132" s="1">
        <v>122</v>
      </c>
      <c r="B132" s="13" t="s">
        <v>12</v>
      </c>
      <c r="C13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32" s="14">
        <v>0</v>
      </c>
      <c r="E132" s="13" t="s">
        <v>13</v>
      </c>
      <c r="F132" s="15">
        <v>45263.459027777775</v>
      </c>
      <c r="G132" s="15">
        <v>45263.518055555556</v>
      </c>
      <c r="H132" s="11"/>
      <c r="I132" s="11"/>
    </row>
    <row r="133" spans="1:9" x14ac:dyDescent="0.25">
      <c r="A133" s="1">
        <v>123</v>
      </c>
      <c r="B133" s="13" t="s">
        <v>10</v>
      </c>
      <c r="C13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33" s="14">
        <v>0</v>
      </c>
      <c r="E133" s="13" t="s">
        <v>13</v>
      </c>
      <c r="F133" s="15">
        <v>45263.463194444441</v>
      </c>
      <c r="G133" s="15">
        <v>45263.798611111109</v>
      </c>
      <c r="H133" s="11"/>
      <c r="I133" s="11"/>
    </row>
    <row r="134" spans="1:9" x14ac:dyDescent="0.25">
      <c r="A134" s="1">
        <v>124</v>
      </c>
      <c r="B134" s="13" t="s">
        <v>18</v>
      </c>
      <c r="C13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34" s="14">
        <v>0</v>
      </c>
      <c r="E134" s="13" t="s">
        <v>13</v>
      </c>
      <c r="F134" s="15">
        <v>45266.671527777777</v>
      </c>
      <c r="G134" s="15">
        <v>45266.9375</v>
      </c>
      <c r="H134" s="11"/>
      <c r="I134" s="11"/>
    </row>
    <row r="135" spans="1:9" x14ac:dyDescent="0.25">
      <c r="A135" s="1">
        <v>125</v>
      </c>
      <c r="B135" s="13" t="s">
        <v>10</v>
      </c>
      <c r="C13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35" s="14">
        <v>0</v>
      </c>
      <c r="E135" s="13" t="s">
        <v>13</v>
      </c>
      <c r="F135" s="15">
        <v>45267</v>
      </c>
      <c r="G135" s="15">
        <v>45267.798611111109</v>
      </c>
      <c r="H135" s="11"/>
      <c r="I135" s="11"/>
    </row>
    <row r="136" spans="1:9" x14ac:dyDescent="0.25">
      <c r="A136" s="1">
        <v>126</v>
      </c>
      <c r="B136" s="13" t="s">
        <v>10</v>
      </c>
      <c r="C13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36" s="14">
        <v>0</v>
      </c>
      <c r="E136" s="13" t="s">
        <v>13</v>
      </c>
      <c r="F136" s="15">
        <v>45267.965277777781</v>
      </c>
      <c r="G136" s="15">
        <v>45268.061805555553</v>
      </c>
      <c r="H136" s="11"/>
      <c r="I136" s="11"/>
    </row>
    <row r="137" spans="1:9" x14ac:dyDescent="0.25">
      <c r="A137" s="1">
        <v>127</v>
      </c>
      <c r="B137" s="13" t="s">
        <v>10</v>
      </c>
      <c r="C13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37" s="14">
        <v>0</v>
      </c>
      <c r="E137" s="13" t="s">
        <v>13</v>
      </c>
      <c r="F137" s="15">
        <v>45268.086111111108</v>
      </c>
      <c r="G137" s="15">
        <v>45268.22152777778</v>
      </c>
      <c r="H137" s="11"/>
      <c r="I137" s="11"/>
    </row>
    <row r="138" spans="1:9" x14ac:dyDescent="0.25">
      <c r="A138" s="1">
        <v>128</v>
      </c>
      <c r="B138" s="13" t="s">
        <v>14</v>
      </c>
      <c r="C13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38" s="14">
        <v>0</v>
      </c>
      <c r="E138" s="13" t="s">
        <v>13</v>
      </c>
      <c r="F138" s="15">
        <v>45268.565972222219</v>
      </c>
      <c r="G138" s="15">
        <v>45281.463888888888</v>
      </c>
      <c r="H138" s="11"/>
      <c r="I138" s="11"/>
    </row>
    <row r="139" spans="1:9" x14ac:dyDescent="0.25">
      <c r="A139" s="1">
        <v>129</v>
      </c>
      <c r="B139" s="13" t="s">
        <v>10</v>
      </c>
      <c r="C13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39" s="14">
        <v>0</v>
      </c>
      <c r="E139" s="13" t="s">
        <v>13</v>
      </c>
      <c r="F139" s="15">
        <v>45269.543749999997</v>
      </c>
      <c r="G139" s="15">
        <v>45269.869444444441</v>
      </c>
      <c r="H139" s="11"/>
      <c r="I139" s="11"/>
    </row>
    <row r="140" spans="1:9" x14ac:dyDescent="0.25">
      <c r="A140" s="1">
        <v>130</v>
      </c>
      <c r="B140" s="13" t="s">
        <v>10</v>
      </c>
      <c r="C14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40" s="14">
        <v>0</v>
      </c>
      <c r="E140" s="13" t="s">
        <v>13</v>
      </c>
      <c r="F140" s="15">
        <v>45269.987500000003</v>
      </c>
      <c r="G140" s="15">
        <v>45270.13958333333</v>
      </c>
      <c r="H140" s="11"/>
      <c r="I140" s="11"/>
    </row>
    <row r="141" spans="1:9" x14ac:dyDescent="0.25">
      <c r="A141" s="1">
        <v>131</v>
      </c>
      <c r="B141" s="13" t="s">
        <v>17</v>
      </c>
      <c r="C14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41" s="14">
        <v>0</v>
      </c>
      <c r="E141" s="13" t="s">
        <v>13</v>
      </c>
      <c r="F141" s="15">
        <v>45270.161111111112</v>
      </c>
      <c r="G141" s="15">
        <v>45270.620833333334</v>
      </c>
      <c r="H141" s="11"/>
      <c r="I141" s="11"/>
    </row>
    <row r="142" spans="1:9" x14ac:dyDescent="0.25">
      <c r="A142" s="1">
        <v>132</v>
      </c>
      <c r="B142" s="13" t="s">
        <v>17</v>
      </c>
      <c r="C14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42" s="14">
        <v>0</v>
      </c>
      <c r="E142" s="13" t="s">
        <v>13</v>
      </c>
      <c r="F142" s="15">
        <v>45270.636111111111</v>
      </c>
      <c r="G142" s="15">
        <v>45271.011111111111</v>
      </c>
      <c r="H142" s="11"/>
      <c r="I142" s="11"/>
    </row>
    <row r="143" spans="1:9" x14ac:dyDescent="0.25">
      <c r="A143" s="1">
        <v>133</v>
      </c>
      <c r="B143" s="13" t="s">
        <v>14</v>
      </c>
      <c r="C14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43" s="14">
        <v>0</v>
      </c>
      <c r="E143" s="13" t="s">
        <v>13</v>
      </c>
      <c r="F143" s="15">
        <v>45658.945138888892</v>
      </c>
      <c r="G143" s="15">
        <v>45659.186805555553</v>
      </c>
      <c r="H143" s="11"/>
      <c r="I143" s="11"/>
    </row>
    <row r="144" spans="1:9" x14ac:dyDescent="0.25">
      <c r="A144" s="1">
        <v>134</v>
      </c>
      <c r="B144" s="13" t="s">
        <v>16</v>
      </c>
      <c r="C14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44" s="14">
        <v>103.07</v>
      </c>
      <c r="E144" s="13" t="s">
        <v>11</v>
      </c>
      <c r="F144" s="15">
        <v>45659.180555555555</v>
      </c>
      <c r="G144" s="15">
        <v>45659.25</v>
      </c>
      <c r="H144" s="11"/>
      <c r="I144" s="11"/>
    </row>
    <row r="145" spans="1:9" x14ac:dyDescent="0.25">
      <c r="A145" s="1">
        <v>135</v>
      </c>
      <c r="B145" s="13" t="s">
        <v>16</v>
      </c>
      <c r="C14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45" s="14">
        <v>80.52</v>
      </c>
      <c r="E145" s="13" t="s">
        <v>11</v>
      </c>
      <c r="F145" s="15">
        <v>45659.25</v>
      </c>
      <c r="G145" s="15">
        <v>45659.861111111109</v>
      </c>
      <c r="H145" s="11"/>
      <c r="I145" s="11"/>
    </row>
    <row r="146" spans="1:9" x14ac:dyDescent="0.25">
      <c r="A146" s="1">
        <v>136</v>
      </c>
      <c r="B146" s="13" t="s">
        <v>14</v>
      </c>
      <c r="C14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46" s="14">
        <v>0</v>
      </c>
      <c r="E146" s="13" t="s">
        <v>13</v>
      </c>
      <c r="F146" s="15">
        <v>45659.397222222222</v>
      </c>
      <c r="G146" s="15">
        <v>45659.651388888888</v>
      </c>
      <c r="H146" s="11"/>
      <c r="I146" s="11"/>
    </row>
    <row r="147" spans="1:9" x14ac:dyDescent="0.25">
      <c r="A147" s="1">
        <v>137</v>
      </c>
      <c r="B147" s="13" t="s">
        <v>14</v>
      </c>
      <c r="C14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47" s="14">
        <v>0</v>
      </c>
      <c r="E147" s="13" t="s">
        <v>13</v>
      </c>
      <c r="F147" s="15">
        <v>45659.758333333331</v>
      </c>
      <c r="G147" s="15">
        <v>45659.826388888891</v>
      </c>
      <c r="H147" s="11"/>
      <c r="I147" s="11"/>
    </row>
    <row r="148" spans="1:9" x14ac:dyDescent="0.25">
      <c r="A148" s="1">
        <v>138</v>
      </c>
      <c r="B148" s="13" t="s">
        <v>15</v>
      </c>
      <c r="C14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48" s="14">
        <v>20</v>
      </c>
      <c r="E148" s="13" t="s">
        <v>11</v>
      </c>
      <c r="F148" s="15">
        <v>45660.459722222222</v>
      </c>
      <c r="G148" s="15">
        <v>45754.37777777778</v>
      </c>
      <c r="H148" s="11"/>
      <c r="I148" s="11"/>
    </row>
    <row r="149" spans="1:9" x14ac:dyDescent="0.25">
      <c r="A149" s="1">
        <v>139</v>
      </c>
      <c r="B149" s="13" t="s">
        <v>14</v>
      </c>
      <c r="C14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49" s="14">
        <v>220</v>
      </c>
      <c r="E149" s="13" t="s">
        <v>11</v>
      </c>
      <c r="F149" s="15">
        <v>45662.833333333336</v>
      </c>
      <c r="G149" s="15">
        <v>45663.635416666664</v>
      </c>
      <c r="H149" s="11"/>
      <c r="I149" s="11"/>
    </row>
    <row r="150" spans="1:9" x14ac:dyDescent="0.25">
      <c r="A150" s="1">
        <v>140</v>
      </c>
      <c r="B150" s="13" t="s">
        <v>12</v>
      </c>
      <c r="C15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50" s="14">
        <v>0</v>
      </c>
      <c r="E150" s="13" t="s">
        <v>13</v>
      </c>
      <c r="F150" s="15">
        <v>45663.923611111109</v>
      </c>
      <c r="G150" s="15">
        <v>45663.964583333334</v>
      </c>
      <c r="H150" s="11"/>
      <c r="I150" s="11"/>
    </row>
    <row r="151" spans="1:9" x14ac:dyDescent="0.25">
      <c r="A151" s="1">
        <v>141</v>
      </c>
      <c r="B151" s="13" t="s">
        <v>12</v>
      </c>
      <c r="C15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51" s="14">
        <v>0</v>
      </c>
      <c r="E151" s="13" t="s">
        <v>13</v>
      </c>
      <c r="F151" s="15">
        <v>45663.964583333334</v>
      </c>
      <c r="G151" s="15">
        <v>45663.981944444444</v>
      </c>
      <c r="H151" s="11"/>
      <c r="I151" s="11"/>
    </row>
    <row r="152" spans="1:9" x14ac:dyDescent="0.25">
      <c r="A152" s="1">
        <v>142</v>
      </c>
      <c r="B152" s="13" t="s">
        <v>16</v>
      </c>
      <c r="C15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52" s="14">
        <v>0</v>
      </c>
      <c r="E152" s="13" t="s">
        <v>13</v>
      </c>
      <c r="F152" s="15">
        <v>45664.708333333336</v>
      </c>
      <c r="G152" s="15">
        <v>45664.843055555553</v>
      </c>
      <c r="H152" s="11"/>
      <c r="I152" s="11"/>
    </row>
    <row r="153" spans="1:9" x14ac:dyDescent="0.25">
      <c r="A153" s="1">
        <v>143</v>
      </c>
      <c r="B153" s="13" t="s">
        <v>14</v>
      </c>
      <c r="C15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53" s="14">
        <v>0</v>
      </c>
      <c r="E153" s="13" t="s">
        <v>13</v>
      </c>
      <c r="F153" s="15">
        <v>45665.574999999997</v>
      </c>
      <c r="G153" s="15">
        <v>45665.677083333336</v>
      </c>
      <c r="H153" s="11"/>
      <c r="I153" s="11"/>
    </row>
    <row r="154" spans="1:9" x14ac:dyDescent="0.25">
      <c r="A154" s="1">
        <v>144</v>
      </c>
      <c r="B154" s="13" t="s">
        <v>14</v>
      </c>
      <c r="C15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54" s="14">
        <v>340</v>
      </c>
      <c r="E154" s="13" t="s">
        <v>11</v>
      </c>
      <c r="F154" s="15">
        <v>45665.979166666664</v>
      </c>
      <c r="G154" s="15">
        <v>45673.824305555558</v>
      </c>
      <c r="H154" s="11"/>
      <c r="I154" s="11"/>
    </row>
    <row r="155" spans="1:9" x14ac:dyDescent="0.25">
      <c r="A155" s="1">
        <v>145</v>
      </c>
      <c r="B155" s="13" t="s">
        <v>16</v>
      </c>
      <c r="C15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55" s="14">
        <v>83.745098517759232</v>
      </c>
      <c r="E155" s="13" t="s">
        <v>11</v>
      </c>
      <c r="F155" s="15">
        <v>45666.820138888892</v>
      </c>
      <c r="G155" s="15">
        <v>45667.833333333336</v>
      </c>
      <c r="H155" s="11"/>
      <c r="I155" s="11"/>
    </row>
    <row r="156" spans="1:9" x14ac:dyDescent="0.25">
      <c r="A156" s="1">
        <v>146</v>
      </c>
      <c r="B156" s="13" t="s">
        <v>15</v>
      </c>
      <c r="C15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56" s="14">
        <v>0</v>
      </c>
      <c r="E156" s="13" t="s">
        <v>13</v>
      </c>
      <c r="F156" s="15">
        <v>45672.867361111108</v>
      </c>
      <c r="G156" s="15">
        <v>45675.654861111114</v>
      </c>
      <c r="H156" s="11"/>
      <c r="I156" s="11"/>
    </row>
    <row r="157" spans="1:9" x14ac:dyDescent="0.25">
      <c r="A157" s="1">
        <v>147</v>
      </c>
      <c r="B157" s="13" t="s">
        <v>14</v>
      </c>
      <c r="C15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57" s="14">
        <v>220</v>
      </c>
      <c r="E157" s="13" t="s">
        <v>11</v>
      </c>
      <c r="F157" s="15">
        <v>45673.824305555558</v>
      </c>
      <c r="G157" s="15">
        <v>45674.039583333331</v>
      </c>
      <c r="H157" s="11"/>
      <c r="I157" s="11"/>
    </row>
    <row r="158" spans="1:9" x14ac:dyDescent="0.25">
      <c r="A158" s="1">
        <v>148</v>
      </c>
      <c r="B158" s="13" t="s">
        <v>14</v>
      </c>
      <c r="C15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58" s="14">
        <v>250</v>
      </c>
      <c r="E158" s="13" t="s">
        <v>11</v>
      </c>
      <c r="F158" s="15">
        <v>45674.039583333331</v>
      </c>
      <c r="G158" s="15">
        <v>45675.127083333333</v>
      </c>
      <c r="H158" s="11"/>
      <c r="I158" s="11"/>
    </row>
    <row r="159" spans="1:9" x14ac:dyDescent="0.25">
      <c r="A159" s="1">
        <v>149</v>
      </c>
      <c r="B159" s="13" t="s">
        <v>14</v>
      </c>
      <c r="C15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59" s="14">
        <v>300</v>
      </c>
      <c r="E159" s="13" t="s">
        <v>11</v>
      </c>
      <c r="F159" s="15">
        <v>45675.127083333333</v>
      </c>
      <c r="G159" s="15">
        <v>45677.163194444445</v>
      </c>
      <c r="H159" s="11"/>
      <c r="I159" s="11"/>
    </row>
    <row r="160" spans="1:9" x14ac:dyDescent="0.25">
      <c r="A160" s="1">
        <v>150</v>
      </c>
      <c r="B160" s="13" t="s">
        <v>15</v>
      </c>
      <c r="C16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60" s="14">
        <v>0</v>
      </c>
      <c r="E160" s="13" t="s">
        <v>13</v>
      </c>
      <c r="F160" s="15">
        <v>45675.739583333336</v>
      </c>
      <c r="G160" s="15">
        <v>45681.76458333333</v>
      </c>
      <c r="H160" s="11"/>
      <c r="I160" s="11"/>
    </row>
    <row r="161" spans="1:9" x14ac:dyDescent="0.25">
      <c r="A161" s="1">
        <v>151</v>
      </c>
      <c r="B161" s="13" t="s">
        <v>14</v>
      </c>
      <c r="C16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61" s="14">
        <v>355</v>
      </c>
      <c r="E161" s="13" t="s">
        <v>11</v>
      </c>
      <c r="F161" s="15">
        <v>45677.163194444445</v>
      </c>
      <c r="G161" s="15">
        <v>45677.224305555559</v>
      </c>
      <c r="H161" s="11"/>
      <c r="I161" s="11"/>
    </row>
    <row r="162" spans="1:9" x14ac:dyDescent="0.25">
      <c r="A162" s="1">
        <v>152</v>
      </c>
      <c r="B162" s="13" t="s">
        <v>14</v>
      </c>
      <c r="C16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62" s="14">
        <v>0</v>
      </c>
      <c r="E162" s="13" t="s">
        <v>13</v>
      </c>
      <c r="F162" s="15">
        <v>45677.224305555559</v>
      </c>
      <c r="G162" s="15">
        <v>45677.534722222219</v>
      </c>
      <c r="H162" s="11"/>
      <c r="I162" s="11"/>
    </row>
    <row r="163" spans="1:9" x14ac:dyDescent="0.25">
      <c r="A163" s="1">
        <v>153</v>
      </c>
      <c r="B163" s="13" t="s">
        <v>14</v>
      </c>
      <c r="C16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63" s="14">
        <v>0</v>
      </c>
      <c r="E163" s="13" t="s">
        <v>13</v>
      </c>
      <c r="F163" s="15">
        <v>45681.357638888891</v>
      </c>
      <c r="G163" s="15">
        <v>45698.37222222222</v>
      </c>
      <c r="H163" s="11"/>
      <c r="I163" s="11"/>
    </row>
    <row r="164" spans="1:9" x14ac:dyDescent="0.25">
      <c r="A164" s="1">
        <v>154</v>
      </c>
      <c r="B164" s="13" t="s">
        <v>15</v>
      </c>
      <c r="C16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64" s="14">
        <v>0</v>
      </c>
      <c r="E164" s="13" t="s">
        <v>13</v>
      </c>
      <c r="F164" s="15">
        <v>45693.038194444445</v>
      </c>
      <c r="G164" s="15">
        <v>45708.731944444444</v>
      </c>
      <c r="H164" s="11"/>
      <c r="I164" s="11"/>
    </row>
    <row r="165" spans="1:9" x14ac:dyDescent="0.25">
      <c r="A165" s="1">
        <v>155</v>
      </c>
      <c r="B165" s="13" t="s">
        <v>19</v>
      </c>
      <c r="C16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65" s="14">
        <v>0</v>
      </c>
      <c r="E165" s="13" t="s">
        <v>13</v>
      </c>
      <c r="F165" s="15">
        <v>45697.510416666664</v>
      </c>
      <c r="G165" s="15">
        <v>45697.650694444441</v>
      </c>
      <c r="H165" s="11"/>
      <c r="I165" s="11"/>
    </row>
    <row r="166" spans="1:9" x14ac:dyDescent="0.25">
      <c r="A166" s="1">
        <v>156</v>
      </c>
      <c r="B166" s="13" t="s">
        <v>19</v>
      </c>
      <c r="C16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66" s="14">
        <v>0</v>
      </c>
      <c r="E166" s="13" t="s">
        <v>13</v>
      </c>
      <c r="F166" s="15">
        <v>45699.036805555559</v>
      </c>
      <c r="G166" s="15">
        <v>45699.372916666667</v>
      </c>
      <c r="H166" s="11"/>
      <c r="I166" s="11"/>
    </row>
    <row r="167" spans="1:9" x14ac:dyDescent="0.25">
      <c r="A167" s="1">
        <v>157</v>
      </c>
      <c r="B167" s="13" t="s">
        <v>14</v>
      </c>
      <c r="C16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67" s="14">
        <v>0</v>
      </c>
      <c r="E167" s="13" t="s">
        <v>13</v>
      </c>
      <c r="F167" s="15">
        <v>45704.229861111111</v>
      </c>
      <c r="G167" s="15">
        <v>45704.96875</v>
      </c>
      <c r="H167" s="11"/>
      <c r="I167" s="11"/>
    </row>
    <row r="168" spans="1:9" x14ac:dyDescent="0.25">
      <c r="A168" s="1">
        <v>158</v>
      </c>
      <c r="B168" s="13" t="s">
        <v>14</v>
      </c>
      <c r="C16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68" s="14">
        <v>210</v>
      </c>
      <c r="E168" s="13" t="s">
        <v>11</v>
      </c>
      <c r="F168" s="15">
        <v>45705.25</v>
      </c>
      <c r="G168" s="15">
        <v>45706.152777777781</v>
      </c>
      <c r="H168" s="11"/>
      <c r="I168" s="11"/>
    </row>
    <row r="169" spans="1:9" x14ac:dyDescent="0.25">
      <c r="A169" s="1">
        <v>159</v>
      </c>
      <c r="B169" s="13" t="s">
        <v>14</v>
      </c>
      <c r="C16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69" s="14">
        <v>106</v>
      </c>
      <c r="E169" s="13" t="s">
        <v>11</v>
      </c>
      <c r="F169" s="15">
        <v>45706.152777777781</v>
      </c>
      <c r="G169" s="15">
        <v>45706.211805555555</v>
      </c>
      <c r="H169" s="11"/>
      <c r="I169" s="11"/>
    </row>
    <row r="170" spans="1:9" x14ac:dyDescent="0.25">
      <c r="A170" s="1">
        <v>160</v>
      </c>
      <c r="B170" s="13" t="s">
        <v>14</v>
      </c>
      <c r="C17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70" s="14">
        <v>0</v>
      </c>
      <c r="E170" s="13" t="s">
        <v>13</v>
      </c>
      <c r="F170" s="15">
        <v>45706.211805555555</v>
      </c>
      <c r="G170" s="15">
        <v>45715.500694444447</v>
      </c>
      <c r="H170" s="11"/>
      <c r="I170" s="11"/>
    </row>
    <row r="171" spans="1:9" x14ac:dyDescent="0.25">
      <c r="A171" s="1">
        <v>161</v>
      </c>
      <c r="B171" s="13" t="s">
        <v>17</v>
      </c>
      <c r="C17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71" s="14">
        <v>0</v>
      </c>
      <c r="E171" s="13" t="s">
        <v>13</v>
      </c>
      <c r="F171" s="15">
        <v>45706.700694444444</v>
      </c>
      <c r="G171" s="15">
        <v>45706.734722222223</v>
      </c>
      <c r="H171" s="11"/>
      <c r="I171" s="11"/>
    </row>
    <row r="172" spans="1:9" x14ac:dyDescent="0.25">
      <c r="A172" s="1">
        <v>162</v>
      </c>
      <c r="B172" s="13" t="s">
        <v>16</v>
      </c>
      <c r="C17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72" s="14">
        <v>0</v>
      </c>
      <c r="E172" s="13" t="s">
        <v>13</v>
      </c>
      <c r="F172" s="15">
        <v>45708.625</v>
      </c>
      <c r="G172" s="15">
        <v>45708.861111111109</v>
      </c>
      <c r="H172" s="11"/>
      <c r="I172" s="11"/>
    </row>
    <row r="173" spans="1:9" x14ac:dyDescent="0.25">
      <c r="A173" s="1">
        <v>163</v>
      </c>
      <c r="B173" s="13" t="s">
        <v>19</v>
      </c>
      <c r="C17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73" s="14">
        <v>0</v>
      </c>
      <c r="E173" s="13" t="s">
        <v>13</v>
      </c>
      <c r="F173" s="15">
        <v>45709.972222222219</v>
      </c>
      <c r="G173" s="15">
        <v>45710.152777777781</v>
      </c>
      <c r="H173" s="11"/>
      <c r="I173" s="11"/>
    </row>
    <row r="174" spans="1:9" x14ac:dyDescent="0.25">
      <c r="A174" s="1">
        <v>164</v>
      </c>
      <c r="B174" s="13" t="s">
        <v>20</v>
      </c>
      <c r="C17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74" s="14">
        <v>0</v>
      </c>
      <c r="E174" s="13" t="s">
        <v>13</v>
      </c>
      <c r="F174" s="15">
        <v>45713.724305555559</v>
      </c>
      <c r="G174" s="15">
        <v>45725.147222222222</v>
      </c>
      <c r="H174" s="11"/>
      <c r="I174" s="11"/>
    </row>
    <row r="175" spans="1:9" x14ac:dyDescent="0.25">
      <c r="A175" s="1">
        <v>165</v>
      </c>
      <c r="B175" s="13" t="s">
        <v>14</v>
      </c>
      <c r="C17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75" s="14">
        <v>106</v>
      </c>
      <c r="E175" s="13" t="s">
        <v>11</v>
      </c>
      <c r="F175" s="15">
        <v>45715.526388888888</v>
      </c>
      <c r="G175" s="15">
        <v>45715.875</v>
      </c>
      <c r="H175" s="11"/>
      <c r="I175" s="11"/>
    </row>
    <row r="176" spans="1:9" x14ac:dyDescent="0.25">
      <c r="A176" s="1">
        <v>166</v>
      </c>
      <c r="B176" s="13" t="s">
        <v>14</v>
      </c>
      <c r="C17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76" s="14">
        <v>130</v>
      </c>
      <c r="E176" s="13" t="s">
        <v>11</v>
      </c>
      <c r="F176" s="15">
        <v>45715.875</v>
      </c>
      <c r="G176" s="15">
        <v>45717.739583333336</v>
      </c>
      <c r="H176" s="11"/>
      <c r="I176" s="11"/>
    </row>
    <row r="177" spans="1:9" x14ac:dyDescent="0.25">
      <c r="A177" s="1">
        <v>167</v>
      </c>
      <c r="B177" s="13" t="s">
        <v>14</v>
      </c>
      <c r="C17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77" s="14">
        <v>180</v>
      </c>
      <c r="E177" s="13" t="s">
        <v>11</v>
      </c>
      <c r="F177" s="15">
        <v>45717.78125</v>
      </c>
      <c r="G177" s="15">
        <v>45728.333333333336</v>
      </c>
      <c r="H177" s="11"/>
      <c r="I177" s="11"/>
    </row>
    <row r="178" spans="1:9" x14ac:dyDescent="0.25">
      <c r="A178" s="1">
        <v>168</v>
      </c>
      <c r="B178" s="13" t="s">
        <v>17</v>
      </c>
      <c r="C17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78" s="14">
        <v>0</v>
      </c>
      <c r="E178" s="13" t="s">
        <v>13</v>
      </c>
      <c r="F178" s="15">
        <v>45721.611805555556</v>
      </c>
      <c r="G178" s="15">
        <v>45721.689583333333</v>
      </c>
      <c r="H178" s="11"/>
      <c r="I178" s="11"/>
    </row>
    <row r="179" spans="1:9" x14ac:dyDescent="0.25">
      <c r="A179" s="1">
        <v>169</v>
      </c>
      <c r="B179" s="13" t="s">
        <v>14</v>
      </c>
      <c r="C17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79" s="14">
        <v>168</v>
      </c>
      <c r="E179" s="13" t="s">
        <v>11</v>
      </c>
      <c r="F179" s="15">
        <v>45728.333333333336</v>
      </c>
      <c r="G179" s="15">
        <v>45729.075694444444</v>
      </c>
      <c r="H179" s="11"/>
      <c r="I179" s="11"/>
    </row>
    <row r="180" spans="1:9" x14ac:dyDescent="0.25">
      <c r="A180" s="1">
        <v>170</v>
      </c>
      <c r="B180" s="13" t="s">
        <v>14</v>
      </c>
      <c r="C18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80" s="14">
        <v>180</v>
      </c>
      <c r="E180" s="13" t="s">
        <v>11</v>
      </c>
      <c r="F180" s="15">
        <v>45729.075694444444</v>
      </c>
      <c r="G180" s="15">
        <v>45740.870833333334</v>
      </c>
      <c r="H180" s="11"/>
      <c r="I180" s="11"/>
    </row>
    <row r="181" spans="1:9" x14ac:dyDescent="0.25">
      <c r="A181" s="1">
        <v>171</v>
      </c>
      <c r="B181" s="13" t="s">
        <v>17</v>
      </c>
      <c r="C18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81" s="14">
        <v>95</v>
      </c>
      <c r="E181" s="13" t="s">
        <v>11</v>
      </c>
      <c r="F181" s="15">
        <v>45732.791666666664</v>
      </c>
      <c r="G181" s="15">
        <v>45732.881944444445</v>
      </c>
      <c r="H181" s="11"/>
      <c r="I181" s="11"/>
    </row>
    <row r="182" spans="1:9" x14ac:dyDescent="0.25">
      <c r="A182" s="1">
        <v>172</v>
      </c>
      <c r="B182" s="13" t="s">
        <v>17</v>
      </c>
      <c r="C18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82" s="14">
        <v>110</v>
      </c>
      <c r="E182" s="13" t="s">
        <v>11</v>
      </c>
      <c r="F182" s="15">
        <v>45732.881944444445</v>
      </c>
      <c r="G182" s="15">
        <v>45733.038194444445</v>
      </c>
      <c r="H182" s="11"/>
      <c r="I182" s="11"/>
    </row>
    <row r="183" spans="1:9" x14ac:dyDescent="0.25">
      <c r="A183" s="1">
        <v>173</v>
      </c>
      <c r="B183" s="13" t="s">
        <v>14</v>
      </c>
      <c r="C18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83" s="14">
        <v>140</v>
      </c>
      <c r="E183" s="13" t="s">
        <v>11</v>
      </c>
      <c r="F183" s="15">
        <v>45740.870833333334</v>
      </c>
      <c r="G183" s="15">
        <v>45741.15625</v>
      </c>
      <c r="H183" s="11"/>
      <c r="I183" s="11"/>
    </row>
    <row r="184" spans="1:9" x14ac:dyDescent="0.25">
      <c r="A184" s="1">
        <v>174</v>
      </c>
      <c r="B184" s="13" t="s">
        <v>14</v>
      </c>
      <c r="C18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84" s="14">
        <v>180</v>
      </c>
      <c r="E184" s="13" t="s">
        <v>11</v>
      </c>
      <c r="F184" s="15">
        <v>45741.15625</v>
      </c>
      <c r="G184" s="15">
        <v>45752.015972222223</v>
      </c>
      <c r="H184" s="11"/>
      <c r="I184" s="11"/>
    </row>
    <row r="185" spans="1:9" x14ac:dyDescent="0.25">
      <c r="A185" s="1">
        <v>175</v>
      </c>
      <c r="B185" s="13" t="s">
        <v>19</v>
      </c>
      <c r="C18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85" s="14">
        <v>0</v>
      </c>
      <c r="E185" s="13" t="s">
        <v>13</v>
      </c>
      <c r="F185" s="15">
        <v>45747.081944444442</v>
      </c>
      <c r="G185" s="15">
        <v>45747.725694444445</v>
      </c>
      <c r="H185" s="11"/>
      <c r="I185" s="11"/>
    </row>
    <row r="186" spans="1:9" x14ac:dyDescent="0.25">
      <c r="A186" s="1">
        <v>176</v>
      </c>
      <c r="B186" s="13" t="s">
        <v>19</v>
      </c>
      <c r="C18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86" s="14">
        <v>0</v>
      </c>
      <c r="E186" s="13" t="s">
        <v>13</v>
      </c>
      <c r="F186" s="15">
        <v>45750.03402777778</v>
      </c>
      <c r="G186" s="15">
        <v>45750.586805555555</v>
      </c>
      <c r="H186" s="11"/>
      <c r="I186" s="11"/>
    </row>
    <row r="187" spans="1:9" x14ac:dyDescent="0.25">
      <c r="A187" s="1">
        <v>177</v>
      </c>
      <c r="B187" s="13" t="s">
        <v>19</v>
      </c>
      <c r="C18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87" s="14">
        <v>0</v>
      </c>
      <c r="E187" s="13" t="s">
        <v>13</v>
      </c>
      <c r="F187" s="15">
        <v>45752.597222222219</v>
      </c>
      <c r="G187" s="15">
        <v>45752.625</v>
      </c>
      <c r="H187" s="11"/>
      <c r="I187" s="11"/>
    </row>
    <row r="188" spans="1:9" x14ac:dyDescent="0.25">
      <c r="A188" s="1">
        <v>178</v>
      </c>
      <c r="B188" s="13" t="s">
        <v>19</v>
      </c>
      <c r="C18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88" s="14">
        <v>83</v>
      </c>
      <c r="E188" s="13" t="s">
        <v>11</v>
      </c>
      <c r="F188" s="15">
        <v>45761.225694444445</v>
      </c>
      <c r="G188" s="15">
        <v>45761.259027777778</v>
      </c>
      <c r="H188" s="11"/>
      <c r="I188" s="11"/>
    </row>
    <row r="189" spans="1:9" x14ac:dyDescent="0.25">
      <c r="A189" s="1">
        <v>179</v>
      </c>
      <c r="B189" s="13" t="s">
        <v>19</v>
      </c>
      <c r="C18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89" s="14">
        <v>60</v>
      </c>
      <c r="E189" s="13" t="s">
        <v>11</v>
      </c>
      <c r="F189" s="15">
        <v>45762.388888888891</v>
      </c>
      <c r="G189" s="15">
        <v>45762.416666666664</v>
      </c>
      <c r="H189" s="11"/>
      <c r="I189" s="11"/>
    </row>
    <row r="190" spans="1:9" x14ac:dyDescent="0.25">
      <c r="A190" s="1">
        <v>180</v>
      </c>
      <c r="B190" s="13" t="s">
        <v>14</v>
      </c>
      <c r="C19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90" s="14">
        <v>185</v>
      </c>
      <c r="E190" s="13" t="s">
        <v>11</v>
      </c>
      <c r="F190" s="15">
        <v>45764.722222222219</v>
      </c>
      <c r="G190" s="15">
        <v>45764.876388888886</v>
      </c>
      <c r="H190" s="11"/>
      <c r="I190" s="11"/>
    </row>
    <row r="191" spans="1:9" x14ac:dyDescent="0.25">
      <c r="A191" s="1">
        <v>181</v>
      </c>
      <c r="B191" s="13" t="s">
        <v>16</v>
      </c>
      <c r="C19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91" s="14">
        <v>0</v>
      </c>
      <c r="E191" s="13" t="s">
        <v>13</v>
      </c>
      <c r="F191" s="15">
        <v>45765.583333333336</v>
      </c>
      <c r="G191" s="15">
        <v>45765.888888888891</v>
      </c>
      <c r="H191" s="11"/>
      <c r="I191" s="11"/>
    </row>
    <row r="192" spans="1:9" x14ac:dyDescent="0.25">
      <c r="A192" s="1">
        <v>182</v>
      </c>
      <c r="B192" s="13" t="s">
        <v>19</v>
      </c>
      <c r="C19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92" s="14">
        <v>0</v>
      </c>
      <c r="E192" s="13" t="s">
        <v>13</v>
      </c>
      <c r="F192" s="15">
        <v>45766.544444444444</v>
      </c>
      <c r="G192" s="15">
        <v>45766.75277777778</v>
      </c>
      <c r="H192" s="11"/>
      <c r="I192" s="11"/>
    </row>
    <row r="193" spans="1:9" x14ac:dyDescent="0.25">
      <c r="A193" s="1">
        <v>183</v>
      </c>
      <c r="B193" s="13" t="s">
        <v>19</v>
      </c>
      <c r="C19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93" s="14">
        <v>0</v>
      </c>
      <c r="E193" s="13" t="s">
        <v>13</v>
      </c>
      <c r="F193" s="15">
        <v>45767.606249999997</v>
      </c>
      <c r="G193" s="15">
        <v>45767.78125</v>
      </c>
      <c r="H193" s="11"/>
      <c r="I193" s="11"/>
    </row>
    <row r="194" spans="1:9" x14ac:dyDescent="0.25">
      <c r="A194" s="1">
        <v>184</v>
      </c>
      <c r="B194" s="13" t="s">
        <v>14</v>
      </c>
      <c r="C19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94" s="14">
        <v>0</v>
      </c>
      <c r="E194" s="13" t="s">
        <v>13</v>
      </c>
      <c r="F194" s="15">
        <v>45768.576388888891</v>
      </c>
      <c r="G194" s="15">
        <v>45768.67083333333</v>
      </c>
      <c r="H194" s="11"/>
      <c r="I194" s="11"/>
    </row>
    <row r="195" spans="1:9" x14ac:dyDescent="0.25">
      <c r="A195" s="1">
        <v>185</v>
      </c>
      <c r="B195" s="13" t="s">
        <v>16</v>
      </c>
      <c r="C19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95" s="14">
        <v>83.745098517759232</v>
      </c>
      <c r="E195" s="13" t="s">
        <v>11</v>
      </c>
      <c r="F195" s="15">
        <v>45771.135416666664</v>
      </c>
      <c r="G195" s="15">
        <v>45772.073611111111</v>
      </c>
      <c r="H195" s="11"/>
      <c r="I195" s="11"/>
    </row>
    <row r="196" spans="1:9" x14ac:dyDescent="0.25">
      <c r="A196" s="1">
        <v>186</v>
      </c>
      <c r="B196" s="13" t="s">
        <v>14</v>
      </c>
      <c r="C19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96" s="14">
        <v>0</v>
      </c>
      <c r="E196" s="13" t="s">
        <v>13</v>
      </c>
      <c r="F196" s="15">
        <v>45773.441666666666</v>
      </c>
      <c r="G196" s="15">
        <v>45773.478472222225</v>
      </c>
      <c r="H196" s="11"/>
      <c r="I196" s="11"/>
    </row>
    <row r="197" spans="1:9" x14ac:dyDescent="0.25">
      <c r="A197" s="1">
        <v>187</v>
      </c>
      <c r="B197" s="13" t="s">
        <v>18</v>
      </c>
      <c r="C19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97" s="14">
        <v>0</v>
      </c>
      <c r="E197" s="13" t="s">
        <v>13</v>
      </c>
      <c r="F197" s="15">
        <v>45776.875</v>
      </c>
      <c r="G197" s="15">
        <v>45777.465277777781</v>
      </c>
      <c r="H197" s="11"/>
      <c r="I197" s="11"/>
    </row>
    <row r="198" spans="1:9" x14ac:dyDescent="0.25">
      <c r="A198" s="1">
        <v>188</v>
      </c>
      <c r="B198" s="13" t="s">
        <v>17</v>
      </c>
      <c r="C19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198" s="14">
        <v>0</v>
      </c>
      <c r="E198" s="13" t="s">
        <v>13</v>
      </c>
      <c r="F198" s="15">
        <v>45778.280555555553</v>
      </c>
      <c r="G198" s="15">
        <v>45798.451388888891</v>
      </c>
      <c r="H198" s="11"/>
      <c r="I198" s="11"/>
    </row>
    <row r="199" spans="1:9" x14ac:dyDescent="0.25">
      <c r="A199" s="1">
        <v>189</v>
      </c>
      <c r="B199" s="13" t="s">
        <v>12</v>
      </c>
      <c r="C19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199" s="14">
        <v>0</v>
      </c>
      <c r="E199" s="13" t="s">
        <v>13</v>
      </c>
      <c r="F199" s="15">
        <v>45786.127083333333</v>
      </c>
      <c r="G199" s="15">
        <v>45786.193749999999</v>
      </c>
      <c r="H199" s="11"/>
      <c r="I199" s="11"/>
    </row>
    <row r="200" spans="1:9" x14ac:dyDescent="0.25">
      <c r="A200" s="1">
        <v>190</v>
      </c>
      <c r="B200" s="13" t="s">
        <v>12</v>
      </c>
      <c r="C20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00" s="14">
        <v>0</v>
      </c>
      <c r="E200" s="13" t="s">
        <v>13</v>
      </c>
      <c r="F200" s="15">
        <v>45786.518750000003</v>
      </c>
      <c r="G200" s="15">
        <v>45789.69027777778</v>
      </c>
      <c r="H200" s="11"/>
      <c r="I200" s="11"/>
    </row>
    <row r="201" spans="1:9" x14ac:dyDescent="0.25">
      <c r="A201" s="1">
        <v>191</v>
      </c>
      <c r="B201" s="13" t="s">
        <v>12</v>
      </c>
      <c r="C20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01" s="14">
        <v>0</v>
      </c>
      <c r="E201" s="13" t="s">
        <v>13</v>
      </c>
      <c r="F201" s="15">
        <v>45790.563194444447</v>
      </c>
      <c r="G201" s="15">
        <v>45798.557638888888</v>
      </c>
      <c r="H201" s="11"/>
      <c r="I201" s="11"/>
    </row>
    <row r="202" spans="1:9" x14ac:dyDescent="0.25">
      <c r="A202" s="1">
        <v>192</v>
      </c>
      <c r="B202" s="13" t="s">
        <v>20</v>
      </c>
      <c r="C20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02" s="14">
        <v>0</v>
      </c>
      <c r="E202" s="13" t="s">
        <v>13</v>
      </c>
      <c r="F202" s="15">
        <v>45795.073611111111</v>
      </c>
      <c r="G202" s="15">
        <v>45796.565972222219</v>
      </c>
      <c r="H202" s="11"/>
      <c r="I202" s="11"/>
    </row>
    <row r="203" spans="1:9" x14ac:dyDescent="0.25">
      <c r="A203" s="1">
        <v>193</v>
      </c>
      <c r="B203" s="13" t="s">
        <v>14</v>
      </c>
      <c r="C20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03" s="14">
        <v>0</v>
      </c>
      <c r="E203" s="13" t="s">
        <v>13</v>
      </c>
      <c r="F203" s="15">
        <v>45796.169444444444</v>
      </c>
      <c r="G203" s="15">
        <v>45797.315972222219</v>
      </c>
      <c r="H203" s="11"/>
      <c r="I203" s="11"/>
    </row>
    <row r="204" spans="1:9" x14ac:dyDescent="0.25">
      <c r="A204" s="1">
        <v>194</v>
      </c>
      <c r="B204" s="13" t="s">
        <v>12</v>
      </c>
      <c r="C20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04" s="14">
        <v>0</v>
      </c>
      <c r="E204" s="13" t="s">
        <v>13</v>
      </c>
      <c r="F204" s="15">
        <v>45800.496527777781</v>
      </c>
      <c r="G204" s="15">
        <v>45800.629861111112</v>
      </c>
      <c r="H204" s="11"/>
      <c r="I204" s="11"/>
    </row>
    <row r="205" spans="1:9" x14ac:dyDescent="0.25">
      <c r="A205" s="1">
        <v>195</v>
      </c>
      <c r="B205" s="13" t="s">
        <v>17</v>
      </c>
      <c r="C20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05" s="14">
        <v>0</v>
      </c>
      <c r="E205" s="13" t="s">
        <v>13</v>
      </c>
      <c r="F205" s="15">
        <v>45801.076388888891</v>
      </c>
      <c r="G205" s="15">
        <v>45801.760416666664</v>
      </c>
      <c r="H205" s="11"/>
      <c r="I205" s="11"/>
    </row>
    <row r="206" spans="1:9" x14ac:dyDescent="0.25">
      <c r="A206" s="1">
        <v>196</v>
      </c>
      <c r="B206" s="13" t="s">
        <v>16</v>
      </c>
      <c r="C20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06" s="14">
        <v>115.95475179382048</v>
      </c>
      <c r="E206" s="13" t="s">
        <v>11</v>
      </c>
      <c r="F206" s="15">
        <v>45801.75</v>
      </c>
      <c r="G206" s="15">
        <v>45802.006944444445</v>
      </c>
      <c r="H206" s="11"/>
      <c r="I206" s="11"/>
    </row>
    <row r="207" spans="1:9" x14ac:dyDescent="0.25">
      <c r="A207" s="1">
        <v>197</v>
      </c>
      <c r="B207" s="13" t="s">
        <v>17</v>
      </c>
      <c r="C20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07" s="14">
        <v>0</v>
      </c>
      <c r="E207" s="13" t="s">
        <v>13</v>
      </c>
      <c r="F207" s="15">
        <v>45801.760416666664</v>
      </c>
      <c r="G207" s="15">
        <v>45801.833333333336</v>
      </c>
      <c r="H207" s="11"/>
      <c r="I207" s="11"/>
    </row>
    <row r="208" spans="1:9" x14ac:dyDescent="0.25">
      <c r="A208" s="1">
        <v>198</v>
      </c>
      <c r="B208" s="13" t="s">
        <v>16</v>
      </c>
      <c r="C20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08" s="14">
        <v>77.303167862546985</v>
      </c>
      <c r="E208" s="13" t="s">
        <v>11</v>
      </c>
      <c r="F208" s="15">
        <v>45802.006944444445</v>
      </c>
      <c r="G208" s="15">
        <v>45802.115972222222</v>
      </c>
      <c r="H208" s="11"/>
      <c r="I208" s="11"/>
    </row>
    <row r="209" spans="1:9" x14ac:dyDescent="0.25">
      <c r="A209" s="1">
        <v>199</v>
      </c>
      <c r="B209" s="13" t="s">
        <v>12</v>
      </c>
      <c r="C20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09" s="14">
        <v>0</v>
      </c>
      <c r="E209" s="13" t="s">
        <v>13</v>
      </c>
      <c r="F209" s="15">
        <v>45802.095833333333</v>
      </c>
      <c r="G209" s="15">
        <v>45802.572916666664</v>
      </c>
      <c r="H209" s="11"/>
      <c r="I209" s="11"/>
    </row>
    <row r="210" spans="1:9" x14ac:dyDescent="0.25">
      <c r="A210" s="1">
        <v>200</v>
      </c>
      <c r="B210" s="13" t="s">
        <v>17</v>
      </c>
      <c r="C21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10" s="14">
        <v>60</v>
      </c>
      <c r="E210" s="13" t="s">
        <v>11</v>
      </c>
      <c r="F210" s="15">
        <v>45803.645833333336</v>
      </c>
      <c r="G210" s="15">
        <v>45804.166666666664</v>
      </c>
      <c r="H210" s="11"/>
      <c r="I210" s="11"/>
    </row>
    <row r="211" spans="1:9" x14ac:dyDescent="0.25">
      <c r="A211" s="1">
        <v>201</v>
      </c>
      <c r="B211" s="13" t="s">
        <v>12</v>
      </c>
      <c r="C21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11" s="14">
        <v>0</v>
      </c>
      <c r="E211" s="13" t="s">
        <v>13</v>
      </c>
      <c r="F211" s="15">
        <v>45810.543749999997</v>
      </c>
      <c r="G211" s="15">
        <v>45810.614583333336</v>
      </c>
      <c r="H211" s="11"/>
      <c r="I211" s="11"/>
    </row>
    <row r="212" spans="1:9" x14ac:dyDescent="0.25">
      <c r="A212" s="1">
        <v>202</v>
      </c>
      <c r="B212" s="13" t="s">
        <v>19</v>
      </c>
      <c r="C21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12" s="14">
        <v>0</v>
      </c>
      <c r="E212" s="13" t="s">
        <v>13</v>
      </c>
      <c r="F212" s="15">
        <v>45811.423611111109</v>
      </c>
      <c r="G212" s="15">
        <v>45811.628472222219</v>
      </c>
      <c r="H212" s="11"/>
      <c r="I212" s="11"/>
    </row>
    <row r="213" spans="1:9" x14ac:dyDescent="0.25">
      <c r="A213" s="1">
        <v>203</v>
      </c>
      <c r="B213" s="13" t="s">
        <v>12</v>
      </c>
      <c r="C21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13" s="14">
        <v>0</v>
      </c>
      <c r="E213" s="13" t="s">
        <v>13</v>
      </c>
      <c r="F213" s="15">
        <v>45812.681250000001</v>
      </c>
      <c r="G213" s="15">
        <v>45812.913888888892</v>
      </c>
      <c r="H213" s="11"/>
      <c r="I213" s="11"/>
    </row>
    <row r="214" spans="1:9" x14ac:dyDescent="0.25">
      <c r="A214" s="1">
        <v>204</v>
      </c>
      <c r="B214" s="13" t="s">
        <v>14</v>
      </c>
      <c r="C21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14" s="14">
        <v>0</v>
      </c>
      <c r="E214" s="13" t="s">
        <v>13</v>
      </c>
      <c r="F214" s="15">
        <v>45813.458333333336</v>
      </c>
      <c r="G214" s="15">
        <v>45827.788194444445</v>
      </c>
      <c r="H214" s="11"/>
      <c r="I214" s="11"/>
    </row>
    <row r="215" spans="1:9" x14ac:dyDescent="0.25">
      <c r="A215" s="1">
        <v>205</v>
      </c>
      <c r="B215" s="13" t="s">
        <v>12</v>
      </c>
      <c r="C21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15" s="14">
        <v>0</v>
      </c>
      <c r="E215" s="13" t="s">
        <v>13</v>
      </c>
      <c r="F215" s="15">
        <v>45815.393055555556</v>
      </c>
      <c r="G215" s="15">
        <v>45815.701388888891</v>
      </c>
      <c r="H215" s="11"/>
      <c r="I215" s="11"/>
    </row>
    <row r="216" spans="1:9" x14ac:dyDescent="0.25">
      <c r="A216" s="1">
        <v>206</v>
      </c>
      <c r="B216" s="13" t="s">
        <v>17</v>
      </c>
      <c r="C21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16" s="14">
        <v>0</v>
      </c>
      <c r="E216" s="13" t="s">
        <v>13</v>
      </c>
      <c r="F216" s="15">
        <v>45820.647916666669</v>
      </c>
      <c r="G216" s="15">
        <v>45820.93472222222</v>
      </c>
      <c r="H216" s="11"/>
      <c r="I216" s="11"/>
    </row>
    <row r="217" spans="1:9" x14ac:dyDescent="0.25">
      <c r="A217" s="1">
        <v>207</v>
      </c>
      <c r="B217" s="13" t="s">
        <v>10</v>
      </c>
      <c r="C21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17" s="14">
        <v>0</v>
      </c>
      <c r="E217" s="13" t="s">
        <v>13</v>
      </c>
      <c r="F217" s="15">
        <v>45825.854861111111</v>
      </c>
      <c r="G217" s="15">
        <v>45828.661111111112</v>
      </c>
      <c r="H217" s="11"/>
      <c r="I217" s="11"/>
    </row>
    <row r="218" spans="1:9" x14ac:dyDescent="0.25">
      <c r="A218" s="1">
        <v>208</v>
      </c>
      <c r="B218" s="13" t="s">
        <v>14</v>
      </c>
      <c r="C21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18" s="14">
        <v>0</v>
      </c>
      <c r="E218" s="13" t="s">
        <v>13</v>
      </c>
      <c r="F218" s="15">
        <v>45827.788194444445</v>
      </c>
      <c r="G218" s="15">
        <v>45828.294444444444</v>
      </c>
      <c r="H218" s="11"/>
      <c r="I218" s="11"/>
    </row>
    <row r="219" spans="1:9" x14ac:dyDescent="0.25">
      <c r="A219" s="1">
        <v>209</v>
      </c>
      <c r="B219" s="13" t="s">
        <v>14</v>
      </c>
      <c r="C21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19" s="14">
        <v>220</v>
      </c>
      <c r="E219" s="13" t="s">
        <v>11</v>
      </c>
      <c r="F219" s="15">
        <v>45828.925000000003</v>
      </c>
      <c r="G219" s="15">
        <v>45829.982638888891</v>
      </c>
      <c r="H219" s="11"/>
      <c r="I219" s="11"/>
    </row>
    <row r="220" spans="1:9" x14ac:dyDescent="0.25">
      <c r="A220" s="1">
        <v>210</v>
      </c>
      <c r="B220" s="13" t="s">
        <v>12</v>
      </c>
      <c r="C22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20" s="14">
        <v>163.9536770259308</v>
      </c>
      <c r="E220" s="13" t="s">
        <v>11</v>
      </c>
      <c r="F220" s="15">
        <v>45833.887499999997</v>
      </c>
      <c r="G220" s="15">
        <v>45934.320138888892</v>
      </c>
      <c r="H220" s="11"/>
      <c r="I220" s="11"/>
    </row>
    <row r="221" spans="1:9" x14ac:dyDescent="0.25">
      <c r="A221" s="1">
        <v>211</v>
      </c>
      <c r="B221" s="13" t="s">
        <v>17</v>
      </c>
      <c r="C22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21" s="14">
        <v>70</v>
      </c>
      <c r="E221" s="13" t="s">
        <v>11</v>
      </c>
      <c r="F221" s="15">
        <v>45837.635416666664</v>
      </c>
      <c r="G221" s="15">
        <v>45838.986805555556</v>
      </c>
      <c r="H221" s="11"/>
      <c r="I221" s="11"/>
    </row>
    <row r="222" spans="1:9" x14ac:dyDescent="0.25">
      <c r="A222" s="1">
        <v>212</v>
      </c>
      <c r="B222" s="13" t="s">
        <v>19</v>
      </c>
      <c r="C22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22" s="14">
        <v>70</v>
      </c>
      <c r="E222" s="13" t="s">
        <v>11</v>
      </c>
      <c r="F222" s="15">
        <v>45837.635416666664</v>
      </c>
      <c r="G222" s="15">
        <v>45839.050694444442</v>
      </c>
      <c r="H222" s="11"/>
      <c r="I222" s="11"/>
    </row>
    <row r="223" spans="1:9" x14ac:dyDescent="0.25">
      <c r="A223" s="1">
        <v>213</v>
      </c>
      <c r="B223" s="13" t="s">
        <v>14</v>
      </c>
      <c r="C22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23" s="14">
        <v>0</v>
      </c>
      <c r="E223" s="13" t="s">
        <v>13</v>
      </c>
      <c r="F223" s="15">
        <v>45842.489583333336</v>
      </c>
      <c r="G223" s="15">
        <v>45842.758333333331</v>
      </c>
      <c r="H223" s="11"/>
      <c r="I223" s="11"/>
    </row>
    <row r="224" spans="1:9" x14ac:dyDescent="0.25">
      <c r="A224" s="1">
        <v>214</v>
      </c>
      <c r="B224" s="13" t="s">
        <v>12</v>
      </c>
      <c r="C22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24" s="14">
        <v>0</v>
      </c>
      <c r="E224" s="13" t="s">
        <v>13</v>
      </c>
      <c r="F224" s="15">
        <v>45844.583333333336</v>
      </c>
      <c r="G224" s="15">
        <v>45844.802083333336</v>
      </c>
      <c r="H224" s="11"/>
      <c r="I224" s="11"/>
    </row>
    <row r="225" spans="1:9" x14ac:dyDescent="0.25">
      <c r="A225" s="1">
        <v>215</v>
      </c>
      <c r="B225" s="13" t="s">
        <v>14</v>
      </c>
      <c r="C22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25" s="14">
        <v>124</v>
      </c>
      <c r="E225" s="13" t="s">
        <v>11</v>
      </c>
      <c r="F225" s="15">
        <v>45844.726388888892</v>
      </c>
      <c r="G225" s="15">
        <v>45844.965277777781</v>
      </c>
      <c r="H225" s="11"/>
      <c r="I225" s="11"/>
    </row>
    <row r="226" spans="1:9" x14ac:dyDescent="0.25">
      <c r="A226" s="1">
        <v>216</v>
      </c>
      <c r="B226" s="13" t="s">
        <v>19</v>
      </c>
      <c r="C22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26" s="14">
        <v>0</v>
      </c>
      <c r="E226" s="13" t="s">
        <v>13</v>
      </c>
      <c r="F226" s="15">
        <v>45845.951388888891</v>
      </c>
      <c r="G226" s="15">
        <v>45848.420138888891</v>
      </c>
      <c r="H226" s="11"/>
      <c r="I226" s="11"/>
    </row>
    <row r="227" spans="1:9" x14ac:dyDescent="0.25">
      <c r="A227" s="1">
        <v>217</v>
      </c>
      <c r="B227" s="13" t="s">
        <v>14</v>
      </c>
      <c r="C22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27" s="14">
        <v>210</v>
      </c>
      <c r="E227" s="13" t="s">
        <v>11</v>
      </c>
      <c r="F227" s="15">
        <v>45846.775000000001</v>
      </c>
      <c r="G227" s="15">
        <v>45846.9375</v>
      </c>
      <c r="H227" s="11"/>
      <c r="I227" s="11"/>
    </row>
    <row r="228" spans="1:9" x14ac:dyDescent="0.25">
      <c r="A228" s="1">
        <v>218</v>
      </c>
      <c r="B228" s="13" t="s">
        <v>12</v>
      </c>
      <c r="C22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28" s="14">
        <v>0</v>
      </c>
      <c r="E228" s="13" t="s">
        <v>13</v>
      </c>
      <c r="F228" s="15">
        <v>45847.393750000003</v>
      </c>
      <c r="G228" s="15">
        <v>45847.666666666664</v>
      </c>
      <c r="H228" s="11"/>
      <c r="I228" s="11"/>
    </row>
    <row r="229" spans="1:9" x14ac:dyDescent="0.25">
      <c r="A229" s="1">
        <v>219</v>
      </c>
      <c r="B229" s="13" t="s">
        <v>14</v>
      </c>
      <c r="C22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29" s="14">
        <v>200</v>
      </c>
      <c r="E229" s="13" t="s">
        <v>11</v>
      </c>
      <c r="F229" s="15">
        <v>45850.663194444445</v>
      </c>
      <c r="G229" s="15">
        <v>45850.724999999999</v>
      </c>
      <c r="H229" s="11"/>
      <c r="I229" s="11"/>
    </row>
    <row r="230" spans="1:9" x14ac:dyDescent="0.25">
      <c r="A230" s="1">
        <v>220</v>
      </c>
      <c r="B230" s="13" t="s">
        <v>17</v>
      </c>
      <c r="C23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30" s="14">
        <v>70</v>
      </c>
      <c r="E230" s="13" t="s">
        <v>11</v>
      </c>
      <c r="F230" s="15">
        <v>45852.502083333333</v>
      </c>
      <c r="G230" s="15">
        <v>45853.04791666667</v>
      </c>
      <c r="H230" s="11"/>
      <c r="I230" s="11"/>
    </row>
    <row r="231" spans="1:9" x14ac:dyDescent="0.25">
      <c r="A231" s="1">
        <v>221</v>
      </c>
      <c r="B231" s="13" t="s">
        <v>19</v>
      </c>
      <c r="C23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31" s="14">
        <v>70</v>
      </c>
      <c r="E231" s="13" t="s">
        <v>11</v>
      </c>
      <c r="F231" s="15">
        <v>45852.502083333333</v>
      </c>
      <c r="G231" s="15">
        <v>45853.190972222219</v>
      </c>
      <c r="H231" s="11"/>
      <c r="I231" s="11"/>
    </row>
    <row r="232" spans="1:9" x14ac:dyDescent="0.25">
      <c r="A232" s="1">
        <v>222</v>
      </c>
      <c r="B232" s="13" t="s">
        <v>14</v>
      </c>
      <c r="C23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32" s="14">
        <v>210</v>
      </c>
      <c r="E232" s="13" t="s">
        <v>11</v>
      </c>
      <c r="F232" s="15">
        <v>45853.768750000003</v>
      </c>
      <c r="G232" s="15">
        <v>45854.071527777778</v>
      </c>
      <c r="H232" s="11"/>
      <c r="I232" s="11"/>
    </row>
    <row r="233" spans="1:9" x14ac:dyDescent="0.25">
      <c r="A233" s="1">
        <v>223</v>
      </c>
      <c r="B233" s="13" t="s">
        <v>14</v>
      </c>
      <c r="C23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33" s="14">
        <v>220</v>
      </c>
      <c r="E233" s="13" t="s">
        <v>11</v>
      </c>
      <c r="F233" s="15">
        <v>45858.90902777778</v>
      </c>
      <c r="G233" s="15">
        <v>45859.07916666667</v>
      </c>
      <c r="H233" s="11"/>
      <c r="I233" s="11"/>
    </row>
    <row r="234" spans="1:9" x14ac:dyDescent="0.25">
      <c r="A234" s="1">
        <v>224</v>
      </c>
      <c r="B234" s="13" t="s">
        <v>12</v>
      </c>
      <c r="C23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34" s="14">
        <v>0</v>
      </c>
      <c r="E234" s="13" t="s">
        <v>13</v>
      </c>
      <c r="F234" s="15">
        <v>45859.583333333336</v>
      </c>
      <c r="G234" s="15">
        <v>45860.894444444442</v>
      </c>
      <c r="H234" s="11"/>
      <c r="I234" s="11"/>
    </row>
    <row r="235" spans="1:9" x14ac:dyDescent="0.25">
      <c r="A235" s="1">
        <v>225</v>
      </c>
      <c r="B235" s="13" t="s">
        <v>16</v>
      </c>
      <c r="C23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35" s="14">
        <v>0</v>
      </c>
      <c r="E235" s="13" t="s">
        <v>13</v>
      </c>
      <c r="F235" s="15">
        <v>45860.834027777775</v>
      </c>
      <c r="G235" s="15">
        <v>45860.936111111114</v>
      </c>
      <c r="H235" s="11"/>
      <c r="I235" s="11"/>
    </row>
    <row r="236" spans="1:9" x14ac:dyDescent="0.25">
      <c r="A236" s="1">
        <v>226</v>
      </c>
      <c r="B236" s="13" t="s">
        <v>12</v>
      </c>
      <c r="C23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36" s="14">
        <v>0</v>
      </c>
      <c r="E236" s="13" t="s">
        <v>13</v>
      </c>
      <c r="F236" s="15">
        <v>45863.583333333336</v>
      </c>
      <c r="G236" s="15">
        <v>45866.847916666666</v>
      </c>
      <c r="H236" s="11"/>
      <c r="I236" s="11"/>
    </row>
    <row r="237" spans="1:9" x14ac:dyDescent="0.25">
      <c r="A237" s="1">
        <v>227</v>
      </c>
      <c r="B237" s="13" t="s">
        <v>16</v>
      </c>
      <c r="C23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37" s="14">
        <v>0</v>
      </c>
      <c r="E237" s="13" t="s">
        <v>13</v>
      </c>
      <c r="F237" s="15">
        <v>45866.988888888889</v>
      </c>
      <c r="G237" s="15">
        <v>45867.077777777777</v>
      </c>
      <c r="H237" s="11"/>
      <c r="I237" s="11"/>
    </row>
    <row r="238" spans="1:9" x14ac:dyDescent="0.25">
      <c r="A238" s="1">
        <v>228</v>
      </c>
      <c r="B238" s="13" t="s">
        <v>14</v>
      </c>
      <c r="C23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38" s="14">
        <v>0</v>
      </c>
      <c r="E238" s="13" t="s">
        <v>13</v>
      </c>
      <c r="F238" s="15">
        <v>45869.39166666667</v>
      </c>
      <c r="G238" s="15">
        <v>45869.617361111108</v>
      </c>
      <c r="H238" s="11"/>
      <c r="I238" s="11"/>
    </row>
    <row r="239" spans="1:9" x14ac:dyDescent="0.25">
      <c r="A239" s="1">
        <v>229</v>
      </c>
      <c r="B239" s="13" t="s">
        <v>17</v>
      </c>
      <c r="C23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39" s="14">
        <v>0</v>
      </c>
      <c r="E239" s="13" t="s">
        <v>13</v>
      </c>
      <c r="F239" s="15">
        <v>45869.507638888892</v>
      </c>
      <c r="G239" s="15">
        <v>45869.613888888889</v>
      </c>
      <c r="H239" s="11"/>
      <c r="I239" s="11"/>
    </row>
    <row r="240" spans="1:9" x14ac:dyDescent="0.25">
      <c r="A240" s="1">
        <v>230</v>
      </c>
      <c r="B240" s="13" t="s">
        <v>12</v>
      </c>
      <c r="C24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40" s="14">
        <v>0</v>
      </c>
      <c r="E240" s="13" t="s">
        <v>13</v>
      </c>
      <c r="F240" s="15">
        <v>45874.413888888892</v>
      </c>
      <c r="G240" s="15">
        <v>45874.52847222222</v>
      </c>
      <c r="H240" s="11"/>
      <c r="I240" s="11"/>
    </row>
    <row r="241" spans="1:9" x14ac:dyDescent="0.25">
      <c r="A241" s="1">
        <v>231</v>
      </c>
      <c r="B241" s="13" t="s">
        <v>14</v>
      </c>
      <c r="C24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41" s="14">
        <v>300</v>
      </c>
      <c r="E241" s="13" t="s">
        <v>11</v>
      </c>
      <c r="F241" s="15">
        <v>45876.074999999997</v>
      </c>
      <c r="G241" s="15">
        <v>45876.147916666669</v>
      </c>
      <c r="H241" s="11"/>
      <c r="I241" s="11"/>
    </row>
    <row r="242" spans="1:9" x14ac:dyDescent="0.25">
      <c r="A242" s="1">
        <v>232</v>
      </c>
      <c r="B242" s="13" t="s">
        <v>14</v>
      </c>
      <c r="C24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42" s="14">
        <v>0</v>
      </c>
      <c r="E242" s="13" t="s">
        <v>13</v>
      </c>
      <c r="F242" s="15">
        <v>45876.147916666669</v>
      </c>
      <c r="G242" s="15">
        <v>45887.59652777778</v>
      </c>
      <c r="H242" s="11"/>
      <c r="I242" s="11"/>
    </row>
    <row r="243" spans="1:9" x14ac:dyDescent="0.25">
      <c r="A243" s="1">
        <v>233</v>
      </c>
      <c r="B243" s="13" t="s">
        <v>19</v>
      </c>
      <c r="C24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43" s="14">
        <v>85</v>
      </c>
      <c r="E243" s="13" t="s">
        <v>11</v>
      </c>
      <c r="F243" s="15">
        <v>45876.795138888891</v>
      </c>
      <c r="G243" s="15">
        <v>45876.900694444441</v>
      </c>
      <c r="H243" s="11"/>
      <c r="I243" s="11"/>
    </row>
    <row r="244" spans="1:9" x14ac:dyDescent="0.25">
      <c r="A244" s="1">
        <v>234</v>
      </c>
      <c r="B244" s="13" t="s">
        <v>19</v>
      </c>
      <c r="C24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44" s="14">
        <v>0</v>
      </c>
      <c r="E244" s="13" t="s">
        <v>13</v>
      </c>
      <c r="F244" s="15">
        <v>45880.761805555558</v>
      </c>
      <c r="G244" s="15">
        <v>45881.002083333333</v>
      </c>
      <c r="H244" s="11"/>
      <c r="I244" s="11"/>
    </row>
    <row r="245" spans="1:9" x14ac:dyDescent="0.25">
      <c r="A245" s="1">
        <v>235</v>
      </c>
      <c r="B245" s="13" t="s">
        <v>16</v>
      </c>
      <c r="C24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45" s="14">
        <v>0</v>
      </c>
      <c r="E245" s="13" t="s">
        <v>13</v>
      </c>
      <c r="F245" s="15">
        <v>45883.34097222222</v>
      </c>
      <c r="G245" s="15">
        <v>45883.399305555555</v>
      </c>
      <c r="H245" s="11"/>
      <c r="I245" s="11"/>
    </row>
    <row r="246" spans="1:9" x14ac:dyDescent="0.25">
      <c r="A246" s="1">
        <v>236</v>
      </c>
      <c r="B246" s="13" t="s">
        <v>19</v>
      </c>
      <c r="C24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46" s="14">
        <v>47</v>
      </c>
      <c r="E246" s="13" t="s">
        <v>11</v>
      </c>
      <c r="F246" s="15">
        <v>45883.771527777775</v>
      </c>
      <c r="G246" s="15">
        <v>45884</v>
      </c>
      <c r="H246" s="11"/>
      <c r="I246" s="11"/>
    </row>
    <row r="247" spans="1:9" x14ac:dyDescent="0.25">
      <c r="A247" s="1">
        <v>237</v>
      </c>
      <c r="B247" s="13" t="s">
        <v>14</v>
      </c>
      <c r="C24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47" s="14">
        <v>200</v>
      </c>
      <c r="E247" s="13" t="s">
        <v>11</v>
      </c>
      <c r="F247" s="15">
        <v>45888.741666666669</v>
      </c>
      <c r="G247" s="15">
        <v>45888.852777777778</v>
      </c>
      <c r="H247" s="11"/>
      <c r="I247" s="11"/>
    </row>
    <row r="248" spans="1:9" x14ac:dyDescent="0.25">
      <c r="A248" s="1">
        <v>238</v>
      </c>
      <c r="B248" s="13" t="s">
        <v>12</v>
      </c>
      <c r="C24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48" s="14">
        <v>0</v>
      </c>
      <c r="E248" s="13" t="s">
        <v>13</v>
      </c>
      <c r="F248" s="15">
        <v>45891.650694444441</v>
      </c>
      <c r="G248" s="15">
        <v>45923.12222222222</v>
      </c>
      <c r="H248" s="11"/>
      <c r="I248" s="11"/>
    </row>
    <row r="249" spans="1:9" x14ac:dyDescent="0.25">
      <c r="A249" s="1">
        <v>239</v>
      </c>
      <c r="B249" s="13" t="s">
        <v>19</v>
      </c>
      <c r="C24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49" s="14">
        <v>0</v>
      </c>
      <c r="E249" s="13" t="s">
        <v>13</v>
      </c>
      <c r="F249" s="15">
        <v>45900.981249999997</v>
      </c>
      <c r="G249" s="15">
        <v>45901.205555555556</v>
      </c>
      <c r="H249" s="11"/>
      <c r="I249" s="11"/>
    </row>
    <row r="250" spans="1:9" x14ac:dyDescent="0.25">
      <c r="A250" s="1">
        <v>240</v>
      </c>
      <c r="B250" s="13" t="s">
        <v>14</v>
      </c>
      <c r="C25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50" s="14">
        <v>250</v>
      </c>
      <c r="E250" s="13" t="s">
        <v>11</v>
      </c>
      <c r="F250" s="15">
        <v>45908.064583333333</v>
      </c>
      <c r="G250" s="15">
        <v>45908.111111111109</v>
      </c>
      <c r="H250" s="11"/>
      <c r="I250" s="11"/>
    </row>
    <row r="251" spans="1:9" x14ac:dyDescent="0.25">
      <c r="A251" s="1">
        <v>241</v>
      </c>
      <c r="B251" s="13" t="s">
        <v>16</v>
      </c>
      <c r="C25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51" s="14">
        <v>0</v>
      </c>
      <c r="E251" s="13" t="s">
        <v>13</v>
      </c>
      <c r="F251" s="15">
        <v>45910.459722222222</v>
      </c>
      <c r="G251" s="15">
        <v>45910.506249999999</v>
      </c>
      <c r="H251" s="11"/>
      <c r="I251" s="11"/>
    </row>
    <row r="252" spans="1:9" x14ac:dyDescent="0.25">
      <c r="A252" s="1">
        <v>242</v>
      </c>
      <c r="B252" s="13" t="s">
        <v>16</v>
      </c>
      <c r="C25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52" s="14">
        <v>0</v>
      </c>
      <c r="E252" s="13" t="s">
        <v>13</v>
      </c>
      <c r="F252" s="15">
        <v>45912.831944444442</v>
      </c>
      <c r="G252" s="15">
        <v>45912.859722222223</v>
      </c>
      <c r="H252" s="11"/>
      <c r="I252" s="11"/>
    </row>
    <row r="253" spans="1:9" x14ac:dyDescent="0.25">
      <c r="A253" s="1">
        <v>243</v>
      </c>
      <c r="B253" s="13" t="s">
        <v>17</v>
      </c>
      <c r="C25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53" s="14">
        <v>106</v>
      </c>
      <c r="E253" s="13" t="s">
        <v>11</v>
      </c>
      <c r="F253" s="15">
        <v>45915.876388888886</v>
      </c>
      <c r="G253" s="15">
        <v>45916.077777777777</v>
      </c>
      <c r="H253" s="11"/>
      <c r="I253" s="11"/>
    </row>
    <row r="254" spans="1:9" x14ac:dyDescent="0.25">
      <c r="A254" s="1">
        <v>244</v>
      </c>
      <c r="B254" s="13" t="s">
        <v>14</v>
      </c>
      <c r="C25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54" s="14">
        <v>330</v>
      </c>
      <c r="E254" s="13" t="s">
        <v>11</v>
      </c>
      <c r="F254" s="15">
        <v>45916.833333333336</v>
      </c>
      <c r="G254" s="15">
        <v>45917.111111111109</v>
      </c>
      <c r="H254" s="11"/>
      <c r="I254" s="11"/>
    </row>
    <row r="255" spans="1:9" x14ac:dyDescent="0.25">
      <c r="A255" s="1">
        <v>245</v>
      </c>
      <c r="B255" s="13" t="s">
        <v>14</v>
      </c>
      <c r="C25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55" s="14">
        <v>0</v>
      </c>
      <c r="E255" s="13" t="s">
        <v>13</v>
      </c>
      <c r="F255" s="15">
        <v>45929.609722222223</v>
      </c>
      <c r="G255" s="15">
        <v>45940.975694444445</v>
      </c>
      <c r="H255" s="11"/>
      <c r="I255" s="11"/>
    </row>
    <row r="256" spans="1:9" x14ac:dyDescent="0.25">
      <c r="A256" s="1">
        <v>246</v>
      </c>
      <c r="B256" s="13" t="s">
        <v>12</v>
      </c>
      <c r="C25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56" s="14">
        <v>0</v>
      </c>
      <c r="E256" s="13" t="s">
        <v>13</v>
      </c>
      <c r="F256" s="15">
        <v>45932.822222222225</v>
      </c>
      <c r="G256" s="15">
        <v>45932.925694444442</v>
      </c>
      <c r="H256" s="11"/>
      <c r="I256" s="11"/>
    </row>
    <row r="257" spans="1:9" x14ac:dyDescent="0.25">
      <c r="A257" s="1">
        <v>247</v>
      </c>
      <c r="B257" s="13" t="s">
        <v>12</v>
      </c>
      <c r="C25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57" s="14">
        <v>0</v>
      </c>
      <c r="E257" s="13" t="s">
        <v>13</v>
      </c>
      <c r="F257" s="15">
        <v>45934.320138888892</v>
      </c>
      <c r="G257" s="15">
        <v>45934.584027777775</v>
      </c>
      <c r="H257" s="11"/>
      <c r="I257" s="11"/>
    </row>
    <row r="258" spans="1:9" x14ac:dyDescent="0.25">
      <c r="A258" s="1">
        <v>248</v>
      </c>
      <c r="B258" s="13" t="s">
        <v>12</v>
      </c>
      <c r="C25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58" s="14">
        <v>0</v>
      </c>
      <c r="E258" s="13" t="s">
        <v>13</v>
      </c>
      <c r="F258" s="15">
        <v>45936.256249999999</v>
      </c>
      <c r="G258" s="15">
        <v>45936.361805555556</v>
      </c>
      <c r="H258" s="11"/>
      <c r="I258" s="11"/>
    </row>
    <row r="259" spans="1:9" x14ac:dyDescent="0.25">
      <c r="A259" s="1">
        <v>249</v>
      </c>
      <c r="B259" s="13" t="s">
        <v>16</v>
      </c>
      <c r="C25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59" s="14">
        <v>0</v>
      </c>
      <c r="E259" s="13" t="s">
        <v>13</v>
      </c>
      <c r="F259" s="15">
        <v>45939.625</v>
      </c>
      <c r="G259" s="15">
        <v>45939.746527777781</v>
      </c>
      <c r="H259" s="11"/>
      <c r="I259" s="11"/>
    </row>
    <row r="260" spans="1:9" x14ac:dyDescent="0.25">
      <c r="A260" s="1">
        <v>250</v>
      </c>
      <c r="B260" s="13" t="s">
        <v>12</v>
      </c>
      <c r="C26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60" s="14">
        <v>150.91</v>
      </c>
      <c r="E260" s="13" t="s">
        <v>11</v>
      </c>
      <c r="F260" s="15">
        <v>45945.079861111109</v>
      </c>
      <c r="G260" s="15">
        <v>45945.37222222222</v>
      </c>
      <c r="H260" s="11"/>
      <c r="I260" s="11"/>
    </row>
    <row r="261" spans="1:9" x14ac:dyDescent="0.25">
      <c r="A261" s="1">
        <v>251</v>
      </c>
      <c r="B261" s="13" t="s">
        <v>12</v>
      </c>
      <c r="C26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61" s="14">
        <v>0</v>
      </c>
      <c r="E261" s="13" t="s">
        <v>13</v>
      </c>
      <c r="F261" s="15">
        <v>45947.802777777775</v>
      </c>
      <c r="G261" s="15">
        <v>45948.027083333334</v>
      </c>
      <c r="H261" s="11"/>
      <c r="I261" s="11"/>
    </row>
    <row r="262" spans="1:9" x14ac:dyDescent="0.25">
      <c r="A262" s="1">
        <v>252</v>
      </c>
      <c r="B262" s="13" t="s">
        <v>12</v>
      </c>
      <c r="C26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62" s="14">
        <v>0</v>
      </c>
      <c r="E262" s="13" t="s">
        <v>13</v>
      </c>
      <c r="F262" s="15">
        <v>45951.710416666669</v>
      </c>
      <c r="G262" s="15">
        <v>45958.786111111112</v>
      </c>
      <c r="H262" s="11"/>
      <c r="I262" s="11"/>
    </row>
    <row r="263" spans="1:9" x14ac:dyDescent="0.25">
      <c r="A263" s="1">
        <v>253</v>
      </c>
      <c r="B263" s="13" t="s">
        <v>14</v>
      </c>
      <c r="C26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63" s="14">
        <v>200</v>
      </c>
      <c r="E263" s="13" t="s">
        <v>11</v>
      </c>
      <c r="F263" s="15">
        <v>45954.886111111111</v>
      </c>
      <c r="G263" s="15">
        <v>45955.020833333336</v>
      </c>
      <c r="H263" s="11"/>
      <c r="I263" s="11"/>
    </row>
    <row r="264" spans="1:9" x14ac:dyDescent="0.25">
      <c r="A264" s="1">
        <v>254</v>
      </c>
      <c r="B264" s="13" t="s">
        <v>14</v>
      </c>
      <c r="C26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64" s="14">
        <v>220</v>
      </c>
      <c r="E264" s="13" t="s">
        <v>11</v>
      </c>
      <c r="F264" s="15">
        <v>45959.863194444442</v>
      </c>
      <c r="G264" s="15">
        <v>45962.629861111112</v>
      </c>
      <c r="H264" s="11"/>
      <c r="I264" s="11"/>
    </row>
    <row r="265" spans="1:9" x14ac:dyDescent="0.25">
      <c r="A265" s="1">
        <v>255</v>
      </c>
      <c r="B265" s="13" t="s">
        <v>12</v>
      </c>
      <c r="C26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65" s="14">
        <v>203.41</v>
      </c>
      <c r="E265" s="13" t="s">
        <v>11</v>
      </c>
      <c r="F265" s="15">
        <v>45960.864583333336</v>
      </c>
      <c r="G265" s="15">
        <v>45963.875</v>
      </c>
      <c r="H265" s="11"/>
      <c r="I265" s="11"/>
    </row>
    <row r="266" spans="1:9" x14ac:dyDescent="0.25">
      <c r="A266" s="1">
        <v>256</v>
      </c>
      <c r="B266" s="13" t="s">
        <v>17</v>
      </c>
      <c r="C26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66" s="14">
        <v>0</v>
      </c>
      <c r="E266" s="13" t="s">
        <v>13</v>
      </c>
      <c r="F266" s="15">
        <v>45960.916666666664</v>
      </c>
      <c r="G266" s="15">
        <v>45964.354166666664</v>
      </c>
      <c r="H266" s="11"/>
      <c r="I266" s="11"/>
    </row>
    <row r="267" spans="1:9" x14ac:dyDescent="0.25">
      <c r="A267" s="1">
        <v>257</v>
      </c>
      <c r="B267" s="13" t="s">
        <v>12</v>
      </c>
      <c r="C26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67" s="14">
        <v>150.91</v>
      </c>
      <c r="E267" s="13" t="s">
        <v>11</v>
      </c>
      <c r="F267" s="15">
        <v>45963.875</v>
      </c>
      <c r="G267" s="15">
        <v>45965.870833333334</v>
      </c>
      <c r="H267" s="11"/>
      <c r="I267" s="11"/>
    </row>
    <row r="268" spans="1:9" x14ac:dyDescent="0.25">
      <c r="A268" s="1">
        <v>258</v>
      </c>
      <c r="B268" s="13" t="s">
        <v>17</v>
      </c>
      <c r="C26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68" s="14">
        <v>0</v>
      </c>
      <c r="E268" s="13" t="s">
        <v>13</v>
      </c>
      <c r="F268" s="15">
        <v>45965.224305555559</v>
      </c>
      <c r="G268" s="15">
        <v>45965.261111111111</v>
      </c>
      <c r="H268" s="11"/>
      <c r="I268" s="11"/>
    </row>
    <row r="269" spans="1:9" x14ac:dyDescent="0.25">
      <c r="A269" s="1">
        <v>259</v>
      </c>
      <c r="B269" s="13" t="s">
        <v>12</v>
      </c>
      <c r="C26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69" s="14">
        <v>131.22999999999999</v>
      </c>
      <c r="E269" s="13" t="s">
        <v>11</v>
      </c>
      <c r="F269" s="15">
        <v>45965.870833333334</v>
      </c>
      <c r="G269" s="15">
        <v>45966.193055555559</v>
      </c>
      <c r="H269" s="11"/>
      <c r="I269" s="11"/>
    </row>
    <row r="270" spans="1:9" x14ac:dyDescent="0.25">
      <c r="A270" s="1">
        <v>260</v>
      </c>
      <c r="B270" s="13" t="s">
        <v>12</v>
      </c>
      <c r="C27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70" s="14">
        <v>85.3</v>
      </c>
      <c r="E270" s="13" t="s">
        <v>11</v>
      </c>
      <c r="F270" s="15">
        <v>45966.193055555559</v>
      </c>
      <c r="G270" s="15">
        <v>45969.211805555555</v>
      </c>
      <c r="H270" s="11"/>
      <c r="I270" s="11"/>
    </row>
    <row r="271" spans="1:9" x14ac:dyDescent="0.25">
      <c r="A271" s="1">
        <v>261</v>
      </c>
      <c r="B271" s="13" t="s">
        <v>12</v>
      </c>
      <c r="C27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71" s="14">
        <v>85.3</v>
      </c>
      <c r="E271" s="13" t="s">
        <v>11</v>
      </c>
      <c r="F271" s="15">
        <v>45966.258333333331</v>
      </c>
      <c r="G271" s="15">
        <v>45966.263888888891</v>
      </c>
      <c r="H271" s="11"/>
      <c r="I271" s="11"/>
    </row>
    <row r="272" spans="1:9" x14ac:dyDescent="0.25">
      <c r="A272" s="1">
        <v>262</v>
      </c>
      <c r="B272" s="13" t="s">
        <v>12</v>
      </c>
      <c r="C27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72" s="14">
        <v>196.85</v>
      </c>
      <c r="E272" s="13" t="s">
        <v>11</v>
      </c>
      <c r="F272" s="15">
        <v>45969.253472222219</v>
      </c>
      <c r="G272" s="15">
        <v>45969.854166666664</v>
      </c>
      <c r="H272" s="11"/>
      <c r="I272" s="11"/>
    </row>
    <row r="273" spans="1:10" x14ac:dyDescent="0.25">
      <c r="A273" s="1">
        <v>263</v>
      </c>
      <c r="B273" s="13" t="s">
        <v>14</v>
      </c>
      <c r="C27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73" s="14">
        <v>220</v>
      </c>
      <c r="E273" s="13" t="s">
        <v>11</v>
      </c>
      <c r="F273" s="15">
        <v>45972.041666666664</v>
      </c>
      <c r="G273" s="15">
        <v>45972.739583333336</v>
      </c>
      <c r="H273" s="11"/>
      <c r="I273" s="11"/>
    </row>
    <row r="274" spans="1:10" x14ac:dyDescent="0.25">
      <c r="A274" s="1">
        <v>264</v>
      </c>
      <c r="B274" s="13" t="s">
        <v>14</v>
      </c>
      <c r="C27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74" s="14">
        <v>110</v>
      </c>
      <c r="E274" s="13" t="s">
        <v>11</v>
      </c>
      <c r="F274" s="15">
        <v>45972.739583333336</v>
      </c>
      <c r="G274" s="15">
        <v>45972.888888888891</v>
      </c>
      <c r="H274" s="11"/>
      <c r="I274" s="11"/>
    </row>
    <row r="275" spans="1:10" x14ac:dyDescent="0.25">
      <c r="A275" s="1">
        <v>265</v>
      </c>
      <c r="B275" s="13" t="s">
        <v>14</v>
      </c>
      <c r="C27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75" s="14">
        <v>220</v>
      </c>
      <c r="E275" s="13" t="s">
        <v>11</v>
      </c>
      <c r="F275" s="15">
        <v>45972.888888888891</v>
      </c>
      <c r="G275" s="15">
        <v>45973.14166666667</v>
      </c>
      <c r="H275" s="11"/>
      <c r="I275" s="11"/>
    </row>
    <row r="276" spans="1:10" x14ac:dyDescent="0.25">
      <c r="A276" s="1">
        <v>266</v>
      </c>
      <c r="B276" s="13" t="s">
        <v>12</v>
      </c>
      <c r="C27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76" s="14">
        <v>0</v>
      </c>
      <c r="E276" s="13" t="s">
        <v>13</v>
      </c>
      <c r="F276" s="15">
        <v>45974.01458333333</v>
      </c>
      <c r="G276" s="15">
        <v>45979.835416666669</v>
      </c>
      <c r="H276" s="11"/>
      <c r="I276" s="11"/>
    </row>
    <row r="277" spans="1:10" x14ac:dyDescent="0.25">
      <c r="A277" s="1">
        <v>267</v>
      </c>
      <c r="B277" s="13" t="s">
        <v>12</v>
      </c>
      <c r="C27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77" s="14">
        <v>203.41</v>
      </c>
      <c r="E277" s="13" t="s">
        <v>11</v>
      </c>
      <c r="F277" s="15">
        <v>45979.871527777781</v>
      </c>
      <c r="G277" s="15">
        <v>45981.409722222219</v>
      </c>
      <c r="H277" s="11"/>
      <c r="I277" s="11"/>
    </row>
    <row r="278" spans="1:10" x14ac:dyDescent="0.25">
      <c r="A278" s="1">
        <v>268</v>
      </c>
      <c r="B278" s="13" t="s">
        <v>14</v>
      </c>
      <c r="C27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78" s="14">
        <v>210</v>
      </c>
      <c r="E278" s="13" t="s">
        <v>11</v>
      </c>
      <c r="F278" s="15">
        <v>45980.773611111108</v>
      </c>
      <c r="G278" s="15">
        <v>45980.989583333336</v>
      </c>
      <c r="H278" s="11"/>
      <c r="I278" s="11"/>
    </row>
    <row r="279" spans="1:10" x14ac:dyDescent="0.25">
      <c r="A279" s="1">
        <v>269</v>
      </c>
      <c r="B279" s="13" t="s">
        <v>14</v>
      </c>
      <c r="C27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79" s="14">
        <v>0</v>
      </c>
      <c r="E279" s="13" t="s">
        <v>13</v>
      </c>
      <c r="F279" s="15">
        <v>45997.393750000003</v>
      </c>
      <c r="G279" s="15">
        <v>45997.673611111109</v>
      </c>
      <c r="H279" s="11"/>
      <c r="I279" s="11"/>
    </row>
    <row r="280" spans="1:10" x14ac:dyDescent="0.25">
      <c r="A280" s="1">
        <v>270</v>
      </c>
      <c r="B280" s="13" t="s">
        <v>14</v>
      </c>
      <c r="C28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80" s="14">
        <v>0</v>
      </c>
      <c r="E280" s="13" t="s">
        <v>13</v>
      </c>
      <c r="F280" s="15">
        <v>45998.750694444447</v>
      </c>
      <c r="G280" s="15">
        <v>45999.017361111109</v>
      </c>
      <c r="H280" s="11"/>
      <c r="I280" s="11"/>
    </row>
    <row r="281" spans="1:10" x14ac:dyDescent="0.25">
      <c r="A281" s="1">
        <v>271</v>
      </c>
      <c r="B281" s="13" t="s">
        <v>17</v>
      </c>
      <c r="C28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81" s="14">
        <v>100</v>
      </c>
      <c r="E281" s="13" t="s">
        <v>11</v>
      </c>
      <c r="F281" s="15">
        <v>46000.805555555555</v>
      </c>
      <c r="G281" s="15">
        <v>46000.976388888892</v>
      </c>
      <c r="H281" s="11"/>
      <c r="I281" s="11"/>
    </row>
    <row r="282" spans="1:10" x14ac:dyDescent="0.25">
      <c r="A282" s="1">
        <v>272</v>
      </c>
      <c r="B282" s="13" t="s">
        <v>19</v>
      </c>
      <c r="C28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82" s="14">
        <v>100</v>
      </c>
      <c r="E282" s="13" t="s">
        <v>11</v>
      </c>
      <c r="F282" s="15">
        <v>46000.805555555555</v>
      </c>
      <c r="G282" s="15">
        <v>46000.916666666664</v>
      </c>
      <c r="H282" s="11"/>
      <c r="I282" s="11"/>
    </row>
    <row r="283" spans="1:10" x14ac:dyDescent="0.25">
      <c r="A283" s="1">
        <v>273</v>
      </c>
      <c r="B283" s="13" t="s">
        <v>16</v>
      </c>
      <c r="C28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83" s="14">
        <v>0</v>
      </c>
      <c r="E283" s="13" t="s">
        <v>13</v>
      </c>
      <c r="F283" s="15">
        <v>46005.275694444441</v>
      </c>
      <c r="G283" s="15">
        <v>46005.972916666666</v>
      </c>
      <c r="H283" s="11"/>
      <c r="I283" s="11"/>
    </row>
    <row r="284" spans="1:10" x14ac:dyDescent="0.25">
      <c r="A284" s="1">
        <v>274</v>
      </c>
      <c r="B284" s="13" t="s">
        <v>17</v>
      </c>
      <c r="C28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84" s="14">
        <v>0</v>
      </c>
      <c r="E284" s="13" t="s">
        <v>13</v>
      </c>
      <c r="F284" s="15">
        <v>46017.061111111114</v>
      </c>
      <c r="G284" s="15">
        <v>46020.145833333336</v>
      </c>
      <c r="H284" s="11"/>
      <c r="I284" s="11"/>
    </row>
    <row r="285" spans="1:10" x14ac:dyDescent="0.25">
      <c r="A285" s="1">
        <v>275</v>
      </c>
      <c r="B285" s="13" t="s">
        <v>14</v>
      </c>
      <c r="C28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85" s="14">
        <v>0</v>
      </c>
      <c r="E285" s="13" t="s">
        <v>13</v>
      </c>
      <c r="F285" s="15">
        <v>46022.899305555555</v>
      </c>
      <c r="G285" s="15">
        <v>46023</v>
      </c>
      <c r="H285" s="11"/>
      <c r="I285" s="11"/>
    </row>
    <row r="286" spans="1:10" x14ac:dyDescent="0.25">
      <c r="A286" s="1">
        <v>276</v>
      </c>
      <c r="B286" s="1" t="s">
        <v>16</v>
      </c>
      <c r="C286" s="1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86" s="5">
        <v>0</v>
      </c>
      <c r="E286" s="1" t="s">
        <v>13</v>
      </c>
      <c r="F286" s="6">
        <v>46025.93472222222</v>
      </c>
      <c r="G286" s="6">
        <v>46026.004861111112</v>
      </c>
      <c r="H286" s="10" t="s">
        <v>21</v>
      </c>
      <c r="I286" s="10" t="s">
        <v>22</v>
      </c>
      <c r="J286" s="13" t="s">
        <v>23</v>
      </c>
    </row>
    <row r="287" spans="1:10" x14ac:dyDescent="0.25">
      <c r="A287" s="1">
        <v>277</v>
      </c>
      <c r="B287" s="1" t="s">
        <v>16</v>
      </c>
      <c r="C287" s="1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87" s="5">
        <v>0</v>
      </c>
      <c r="E287" s="1" t="s">
        <v>13</v>
      </c>
      <c r="F287" s="6">
        <v>46036.70416666667</v>
      </c>
      <c r="G287" s="6">
        <v>46039.024305555555</v>
      </c>
      <c r="H287" s="10" t="s">
        <v>24</v>
      </c>
      <c r="I287" s="10" t="s">
        <v>25</v>
      </c>
      <c r="J287" s="13" t="s">
        <v>23</v>
      </c>
    </row>
    <row r="288" spans="1:10" x14ac:dyDescent="0.25">
      <c r="A288" s="1">
        <v>278</v>
      </c>
      <c r="B288" s="1" t="s">
        <v>12</v>
      </c>
      <c r="C288" s="1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88" s="5">
        <v>0</v>
      </c>
      <c r="E288" s="1" t="s">
        <v>13</v>
      </c>
      <c r="F288" s="6">
        <v>46059.571527777778</v>
      </c>
      <c r="G288" s="6">
        <v>46059.804861111108</v>
      </c>
      <c r="H288" s="10" t="s">
        <v>26</v>
      </c>
      <c r="I288" s="10" t="s">
        <v>27</v>
      </c>
      <c r="J288" s="13" t="s">
        <v>23</v>
      </c>
    </row>
    <row r="289" spans="1:10" x14ac:dyDescent="0.25">
      <c r="A289" s="1">
        <v>279</v>
      </c>
      <c r="B289" s="1" t="s">
        <v>16</v>
      </c>
      <c r="C289" s="1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89" s="5">
        <v>158.37</v>
      </c>
      <c r="E289" s="1" t="s">
        <v>11</v>
      </c>
      <c r="F289" s="6">
        <v>46059.595833333333</v>
      </c>
      <c r="G289" s="6">
        <v>46059.654861111114</v>
      </c>
      <c r="H289" s="10" t="s">
        <v>28</v>
      </c>
      <c r="I289" s="10" t="s">
        <v>29</v>
      </c>
      <c r="J289" s="13" t="s">
        <v>23</v>
      </c>
    </row>
    <row r="290" spans="1:10" x14ac:dyDescent="0.25">
      <c r="A290" s="1">
        <v>280</v>
      </c>
      <c r="B290" s="1" t="s">
        <v>12</v>
      </c>
      <c r="C290" s="1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290" s="5">
        <v>262.08</v>
      </c>
      <c r="E290" s="1" t="s">
        <v>11</v>
      </c>
      <c r="F290" s="6">
        <v>46060.808333333334</v>
      </c>
      <c r="G290" s="6">
        <v>46060.820138888892</v>
      </c>
      <c r="H290" s="10" t="s">
        <v>30</v>
      </c>
      <c r="I290" s="10" t="s">
        <v>31</v>
      </c>
      <c r="J290" s="13" t="s">
        <v>23</v>
      </c>
    </row>
    <row r="291" spans="1:10" x14ac:dyDescent="0.25">
      <c r="A291" s="1">
        <v>281</v>
      </c>
      <c r="B291" s="1" t="s">
        <v>16</v>
      </c>
      <c r="C291" s="1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91" s="5">
        <v>0</v>
      </c>
      <c r="E291" s="1" t="s">
        <v>13</v>
      </c>
      <c r="F291" s="6">
        <v>46065.659722222219</v>
      </c>
      <c r="G291" s="6">
        <v>46065.696527777778</v>
      </c>
      <c r="H291" s="10" t="s">
        <v>21</v>
      </c>
      <c r="I291" s="10" t="s">
        <v>22</v>
      </c>
      <c r="J291" s="13" t="s">
        <v>23</v>
      </c>
    </row>
    <row r="292" spans="1:10" x14ac:dyDescent="0.25">
      <c r="A292" s="1">
        <v>282</v>
      </c>
      <c r="B292" s="1" t="s">
        <v>16</v>
      </c>
      <c r="C292" s="1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92" s="5">
        <v>0</v>
      </c>
      <c r="E292" s="1" t="s">
        <v>13</v>
      </c>
      <c r="F292" s="6">
        <v>46066.063194444447</v>
      </c>
      <c r="G292" s="6">
        <v>46066.169444444444</v>
      </c>
      <c r="H292" s="10" t="s">
        <v>32</v>
      </c>
      <c r="I292" s="10" t="s">
        <v>33</v>
      </c>
      <c r="J292" s="13" t="s">
        <v>23</v>
      </c>
    </row>
    <row r="293" spans="1:10" x14ac:dyDescent="0.25">
      <c r="A293" s="1">
        <v>283</v>
      </c>
      <c r="B293" s="1" t="s">
        <v>16</v>
      </c>
      <c r="C293" s="1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93" s="5">
        <v>0</v>
      </c>
      <c r="E293" s="1" t="s">
        <v>13</v>
      </c>
      <c r="F293" s="6">
        <v>46070.286805555559</v>
      </c>
      <c r="G293" s="6">
        <v>46070.676388888889</v>
      </c>
      <c r="H293" s="12" t="s">
        <v>34</v>
      </c>
      <c r="I293" s="10" t="s">
        <v>35</v>
      </c>
      <c r="J293" s="13" t="s">
        <v>23</v>
      </c>
    </row>
    <row r="294" spans="1:10" x14ac:dyDescent="0.25">
      <c r="A294" s="1">
        <v>284</v>
      </c>
      <c r="B294" s="4" t="s">
        <v>16</v>
      </c>
      <c r="C294" s="4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94" s="8">
        <v>0</v>
      </c>
      <c r="E294" s="4" t="s">
        <v>13</v>
      </c>
      <c r="F294" s="9">
        <v>46070.724305555559</v>
      </c>
      <c r="G294" s="9">
        <v>46070.757638888892</v>
      </c>
      <c r="H294" s="10" t="s">
        <v>36</v>
      </c>
      <c r="I294" s="10" t="s">
        <v>37</v>
      </c>
      <c r="J294" s="13" t="s">
        <v>23</v>
      </c>
    </row>
    <row r="295" spans="1:10" x14ac:dyDescent="0.25">
      <c r="A295" s="1">
        <v>285</v>
      </c>
      <c r="B295" s="1" t="s">
        <v>16</v>
      </c>
      <c r="C295" s="1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95" s="5">
        <v>0</v>
      </c>
      <c r="E295" s="1" t="s">
        <v>13</v>
      </c>
      <c r="F295" s="6">
        <v>46070.825694444444</v>
      </c>
      <c r="G295" s="6">
        <v>46070.897222222222</v>
      </c>
      <c r="H295" s="12" t="s">
        <v>34</v>
      </c>
      <c r="I295" s="10" t="s">
        <v>38</v>
      </c>
      <c r="J295" s="13" t="s">
        <v>23</v>
      </c>
    </row>
    <row r="296" spans="1:10" x14ac:dyDescent="0.25">
      <c r="A296" s="1">
        <v>286</v>
      </c>
      <c r="B296" s="4" t="s">
        <v>19</v>
      </c>
      <c r="C296" s="4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96" s="8">
        <v>100</v>
      </c>
      <c r="E296" s="4" t="s">
        <v>11</v>
      </c>
      <c r="F296" s="9">
        <v>46070.836805555555</v>
      </c>
      <c r="G296" s="9">
        <v>46070.870833333334</v>
      </c>
      <c r="H296" s="12" t="s">
        <v>39</v>
      </c>
      <c r="I296" s="10" t="s">
        <v>40</v>
      </c>
      <c r="J296" s="13" t="s">
        <v>23</v>
      </c>
    </row>
    <row r="297" spans="1:10" x14ac:dyDescent="0.25">
      <c r="A297" s="1">
        <v>287</v>
      </c>
      <c r="B297" s="4" t="s">
        <v>19</v>
      </c>
      <c r="C297" s="4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97" s="8">
        <v>0</v>
      </c>
      <c r="E297" s="4" t="s">
        <v>13</v>
      </c>
      <c r="F297" s="9">
        <v>46074.788888888892</v>
      </c>
      <c r="G297" s="9">
        <v>46074.916666666664</v>
      </c>
      <c r="H297" s="10" t="s">
        <v>41</v>
      </c>
      <c r="I297" s="10" t="s">
        <v>42</v>
      </c>
      <c r="J297" s="13" t="s">
        <v>23</v>
      </c>
    </row>
    <row r="298" spans="1:10" x14ac:dyDescent="0.25">
      <c r="A298" s="1">
        <v>288</v>
      </c>
      <c r="B298" s="1" t="s">
        <v>17</v>
      </c>
      <c r="C298" s="1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98" s="5">
        <v>115</v>
      </c>
      <c r="E298" s="1" t="s">
        <v>11</v>
      </c>
      <c r="F298" s="6">
        <v>46082.008333333331</v>
      </c>
      <c r="G298" s="6">
        <v>46082.041666666664</v>
      </c>
      <c r="H298" s="10" t="s">
        <v>43</v>
      </c>
      <c r="I298" s="10" t="s">
        <v>44</v>
      </c>
      <c r="J298" s="13" t="s">
        <v>23</v>
      </c>
    </row>
    <row r="299" spans="1:10" x14ac:dyDescent="0.25">
      <c r="A299" s="1">
        <v>289</v>
      </c>
      <c r="B299" s="1" t="s">
        <v>17</v>
      </c>
      <c r="C299" s="1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299" s="5">
        <v>70</v>
      </c>
      <c r="E299" s="1" t="s">
        <v>11</v>
      </c>
      <c r="F299" s="6">
        <v>46082.041666666664</v>
      </c>
      <c r="G299" s="6">
        <v>46082.061805555553</v>
      </c>
      <c r="H299" s="10" t="s">
        <v>43</v>
      </c>
      <c r="I299" s="10" t="s">
        <v>44</v>
      </c>
      <c r="J299" s="13" t="s">
        <v>23</v>
      </c>
    </row>
    <row r="300" spans="1:10" x14ac:dyDescent="0.25">
      <c r="A300" s="1">
        <v>290</v>
      </c>
      <c r="B300" s="1" t="s">
        <v>17</v>
      </c>
      <c r="C300" s="1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00" s="5">
        <v>60</v>
      </c>
      <c r="E300" s="1" t="s">
        <v>11</v>
      </c>
      <c r="F300" s="6">
        <v>46084.739583333336</v>
      </c>
      <c r="G300" s="6">
        <v>46088.0625</v>
      </c>
      <c r="H300" s="10" t="s">
        <v>45</v>
      </c>
      <c r="I300" s="10" t="s">
        <v>46</v>
      </c>
      <c r="J300" s="13" t="s">
        <v>23</v>
      </c>
    </row>
    <row r="301" spans="1:10" x14ac:dyDescent="0.25">
      <c r="A301" s="1">
        <v>291</v>
      </c>
      <c r="B301" s="4" t="s">
        <v>17</v>
      </c>
      <c r="C301" s="4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01" s="8">
        <v>125</v>
      </c>
      <c r="E301" s="4" t="s">
        <v>11</v>
      </c>
      <c r="F301" s="9">
        <v>46088.201388888891</v>
      </c>
      <c r="G301" s="9">
        <v>46088.547222222223</v>
      </c>
      <c r="H301" s="10" t="s">
        <v>43</v>
      </c>
      <c r="I301" s="10" t="s">
        <v>44</v>
      </c>
      <c r="J301" s="13" t="s">
        <v>23</v>
      </c>
    </row>
    <row r="302" spans="1:10" x14ac:dyDescent="0.25">
      <c r="A302" s="1">
        <v>292</v>
      </c>
      <c r="B302" s="4" t="s">
        <v>12</v>
      </c>
      <c r="C302" s="4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02" s="8">
        <v>35</v>
      </c>
      <c r="E302" s="4" t="s">
        <v>11</v>
      </c>
      <c r="F302" s="9">
        <v>46092.44027777778</v>
      </c>
      <c r="G302" s="9">
        <v>46092.8125</v>
      </c>
      <c r="H302" s="10" t="s">
        <v>41</v>
      </c>
      <c r="I302" s="10" t="s">
        <v>47</v>
      </c>
      <c r="J302" s="13" t="s">
        <v>23</v>
      </c>
    </row>
    <row r="303" spans="1:10" s="1" customFormat="1" x14ac:dyDescent="0.25">
      <c r="A303" s="1">
        <v>293</v>
      </c>
      <c r="B303" s="4" t="s">
        <v>16</v>
      </c>
      <c r="C303" s="4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03" s="8">
        <v>0</v>
      </c>
      <c r="E303" s="4" t="s">
        <v>13</v>
      </c>
      <c r="F303" s="9">
        <v>46093.331250000003</v>
      </c>
      <c r="G303" s="9">
        <v>46093.396527777775</v>
      </c>
      <c r="H303" s="10" t="s">
        <v>21</v>
      </c>
      <c r="I303" s="10" t="s">
        <v>48</v>
      </c>
      <c r="J303" s="13" t="s">
        <v>23</v>
      </c>
    </row>
    <row r="304" spans="1:10" s="1" customFormat="1" x14ac:dyDescent="0.25">
      <c r="A304" s="1">
        <v>294</v>
      </c>
      <c r="B304" s="1" t="s">
        <v>19</v>
      </c>
      <c r="C304" s="1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04" s="5">
        <v>70</v>
      </c>
      <c r="E304" s="1" t="s">
        <v>11</v>
      </c>
      <c r="F304" s="6">
        <v>46100.088888888888</v>
      </c>
      <c r="G304" s="6">
        <v>46100.585416666669</v>
      </c>
      <c r="H304" s="12" t="s">
        <v>49</v>
      </c>
      <c r="I304" s="10" t="s">
        <v>50</v>
      </c>
      <c r="J304" s="13" t="s">
        <v>23</v>
      </c>
    </row>
    <row r="305" spans="1:10" x14ac:dyDescent="0.25">
      <c r="A305" s="1">
        <v>295</v>
      </c>
      <c r="B305" s="13" t="s">
        <v>16</v>
      </c>
      <c r="C30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05" s="14">
        <v>0</v>
      </c>
      <c r="E305" s="13" t="s">
        <v>13</v>
      </c>
      <c r="F305" s="15">
        <v>46107.050694444442</v>
      </c>
      <c r="G305" s="15">
        <v>46107.477777777778</v>
      </c>
      <c r="H305" s="11" t="s">
        <v>51</v>
      </c>
      <c r="I305" s="11" t="s">
        <v>52</v>
      </c>
      <c r="J305" s="13" t="s">
        <v>23</v>
      </c>
    </row>
    <row r="306" spans="1:10" x14ac:dyDescent="0.25">
      <c r="A306" s="1">
        <v>296</v>
      </c>
      <c r="B306" s="13" t="s">
        <v>12</v>
      </c>
      <c r="C30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06" s="14">
        <v>0</v>
      </c>
      <c r="E306" s="13" t="s">
        <v>13</v>
      </c>
      <c r="F306" s="15">
        <v>46110.525000000001</v>
      </c>
      <c r="G306" s="15">
        <v>46111.086805555555</v>
      </c>
      <c r="H306" s="11" t="s">
        <v>53</v>
      </c>
      <c r="I306" s="11" t="s">
        <v>54</v>
      </c>
      <c r="J306" s="13" t="s">
        <v>23</v>
      </c>
    </row>
    <row r="307" spans="1:10" x14ac:dyDescent="0.25">
      <c r="A307" s="1">
        <v>297</v>
      </c>
      <c r="B307" s="13" t="s">
        <v>16</v>
      </c>
      <c r="C30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07" s="14">
        <v>0</v>
      </c>
      <c r="E307" s="13" t="s">
        <v>13</v>
      </c>
      <c r="F307" s="15">
        <v>46119.122916666667</v>
      </c>
      <c r="G307" s="15">
        <v>46119.466666666667</v>
      </c>
      <c r="H307" s="11" t="s">
        <v>55</v>
      </c>
      <c r="I307" s="11" t="s">
        <v>56</v>
      </c>
      <c r="J307" s="13" t="s">
        <v>23</v>
      </c>
    </row>
    <row r="308" spans="1:10" x14ac:dyDescent="0.25">
      <c r="A308" s="1">
        <v>298</v>
      </c>
      <c r="B308" s="13" t="s">
        <v>17</v>
      </c>
      <c r="C30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08" s="14">
        <v>0</v>
      </c>
      <c r="E308" s="13" t="s">
        <v>13</v>
      </c>
      <c r="F308" s="15">
        <v>46123.663194444445</v>
      </c>
      <c r="G308" s="15">
        <v>46123.681944444441</v>
      </c>
      <c r="H308" s="11" t="s">
        <v>57</v>
      </c>
      <c r="I308" s="11" t="s">
        <v>58</v>
      </c>
      <c r="J308" s="13" t="s">
        <v>23</v>
      </c>
    </row>
    <row r="309" spans="1:10" x14ac:dyDescent="0.25">
      <c r="A309" s="1">
        <v>298</v>
      </c>
      <c r="B309" s="13" t="s">
        <v>15</v>
      </c>
      <c r="C30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09" s="14">
        <v>0</v>
      </c>
      <c r="E309" s="13" t="s">
        <v>13</v>
      </c>
      <c r="F309" s="15">
        <v>46141.029166666667</v>
      </c>
      <c r="G309" s="15">
        <v>46141.057638888888</v>
      </c>
      <c r="H309" s="11" t="s">
        <v>59</v>
      </c>
      <c r="I309" s="11" t="s">
        <v>60</v>
      </c>
      <c r="J309" s="13" t="s">
        <v>23</v>
      </c>
    </row>
    <row r="310" spans="1:10" x14ac:dyDescent="0.25">
      <c r="A310" s="1">
        <v>299</v>
      </c>
      <c r="B310" s="13" t="s">
        <v>12</v>
      </c>
      <c r="C31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10" s="14">
        <v>0</v>
      </c>
      <c r="E310" s="13" t="s">
        <v>13</v>
      </c>
      <c r="F310" s="15">
        <v>46141.638194444444</v>
      </c>
      <c r="G310" s="15">
        <v>46143.779166666667</v>
      </c>
      <c r="H310" s="11" t="s">
        <v>61</v>
      </c>
      <c r="I310" s="11" t="s">
        <v>62</v>
      </c>
      <c r="J310" s="13" t="s">
        <v>23</v>
      </c>
    </row>
    <row r="311" spans="1:10" x14ac:dyDescent="0.25">
      <c r="A311" s="1">
        <v>300</v>
      </c>
      <c r="B311" s="13" t="s">
        <v>17</v>
      </c>
      <c r="C31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11" s="14">
        <v>80</v>
      </c>
      <c r="E311" s="13" t="s">
        <v>11</v>
      </c>
      <c r="F311" s="15">
        <v>46144.731249999997</v>
      </c>
      <c r="G311" s="15">
        <v>46144.795138888891</v>
      </c>
      <c r="H311" s="11" t="s">
        <v>63</v>
      </c>
      <c r="I311" s="11" t="s">
        <v>64</v>
      </c>
      <c r="J311" s="13" t="s">
        <v>23</v>
      </c>
    </row>
    <row r="312" spans="1:10" x14ac:dyDescent="0.25">
      <c r="A312" s="1">
        <v>301</v>
      </c>
      <c r="B312" s="13" t="s">
        <v>17</v>
      </c>
      <c r="C31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12" s="14">
        <v>0</v>
      </c>
      <c r="E312" s="13" t="s">
        <v>13</v>
      </c>
      <c r="F312" s="15">
        <v>46151.263194444444</v>
      </c>
      <c r="G312" s="15">
        <v>46163.041666666664</v>
      </c>
      <c r="H312" s="11" t="s">
        <v>65</v>
      </c>
      <c r="I312" s="11" t="s">
        <v>66</v>
      </c>
      <c r="J312" s="13" t="s">
        <v>23</v>
      </c>
    </row>
    <row r="313" spans="1:10" x14ac:dyDescent="0.25">
      <c r="A313" s="1">
        <v>302</v>
      </c>
      <c r="B313" s="13" t="s">
        <v>19</v>
      </c>
      <c r="C31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13" s="14">
        <v>0</v>
      </c>
      <c r="E313" s="13" t="s">
        <v>13</v>
      </c>
      <c r="F313" s="15">
        <v>46154.693055555559</v>
      </c>
      <c r="G313" s="15">
        <v>46154.719444444447</v>
      </c>
      <c r="H313" s="11" t="s">
        <v>67</v>
      </c>
      <c r="I313" s="11" t="s">
        <v>68</v>
      </c>
      <c r="J313" s="13" t="s">
        <v>23</v>
      </c>
    </row>
    <row r="314" spans="1:10" x14ac:dyDescent="0.25">
      <c r="A314" s="1">
        <v>303</v>
      </c>
      <c r="B314" s="13" t="s">
        <v>15</v>
      </c>
      <c r="C31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14" s="14">
        <v>0</v>
      </c>
      <c r="E314" s="13" t="s">
        <v>13</v>
      </c>
      <c r="F314" s="15">
        <v>46156.012499999997</v>
      </c>
      <c r="G314" s="15">
        <v>46156.082638888889</v>
      </c>
      <c r="H314" s="11" t="s">
        <v>69</v>
      </c>
      <c r="I314" s="11" t="s">
        <v>70</v>
      </c>
      <c r="J314" s="13" t="s">
        <v>23</v>
      </c>
    </row>
    <row r="315" spans="1:10" x14ac:dyDescent="0.25">
      <c r="A315" s="1">
        <v>304</v>
      </c>
      <c r="B315" s="13" t="s">
        <v>15</v>
      </c>
      <c r="C31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15" s="14">
        <v>0</v>
      </c>
      <c r="E315" s="13" t="s">
        <v>13</v>
      </c>
      <c r="F315" s="15">
        <v>46156.085416666669</v>
      </c>
      <c r="G315" s="15">
        <v>46156.152777777781</v>
      </c>
      <c r="H315" s="11" t="s">
        <v>69</v>
      </c>
      <c r="I315" s="11" t="s">
        <v>70</v>
      </c>
      <c r="J315" s="13" t="s">
        <v>23</v>
      </c>
    </row>
    <row r="316" spans="1:10" x14ac:dyDescent="0.25">
      <c r="A316" s="1">
        <v>305</v>
      </c>
      <c r="B316" s="13" t="s">
        <v>19</v>
      </c>
      <c r="C31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16" s="14">
        <v>70</v>
      </c>
      <c r="E316" s="13" t="s">
        <v>11</v>
      </c>
      <c r="F316" s="15">
        <v>46158.34375</v>
      </c>
      <c r="G316" s="15">
        <v>46158.885416666664</v>
      </c>
      <c r="H316" s="11" t="s">
        <v>71</v>
      </c>
      <c r="I316" s="11" t="s">
        <v>72</v>
      </c>
      <c r="J316" s="13" t="s">
        <v>23</v>
      </c>
    </row>
    <row r="317" spans="1:10" x14ac:dyDescent="0.25">
      <c r="A317" s="1">
        <v>306</v>
      </c>
      <c r="B317" s="13" t="s">
        <v>12</v>
      </c>
      <c r="C31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17" s="14">
        <v>0</v>
      </c>
      <c r="E317" s="13" t="s">
        <v>13</v>
      </c>
      <c r="F317" s="15">
        <v>46163.160416666666</v>
      </c>
      <c r="G317" s="15">
        <v>46163.326388888891</v>
      </c>
      <c r="H317" s="11" t="s">
        <v>73</v>
      </c>
      <c r="I317" s="11" t="s">
        <v>74</v>
      </c>
      <c r="J317" s="1" t="s">
        <v>23</v>
      </c>
    </row>
    <row r="318" spans="1:10" x14ac:dyDescent="0.25">
      <c r="A318" s="1">
        <v>307</v>
      </c>
      <c r="B318" s="13" t="s">
        <v>15</v>
      </c>
      <c r="C31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18" s="14">
        <v>0</v>
      </c>
      <c r="E318" s="13" t="s">
        <v>13</v>
      </c>
      <c r="F318" s="15">
        <v>46164.215277777781</v>
      </c>
      <c r="G318" s="15">
        <v>46164.252083333333</v>
      </c>
      <c r="H318" s="11" t="s">
        <v>69</v>
      </c>
      <c r="I318" s="11" t="s">
        <v>70</v>
      </c>
      <c r="J318" s="1" t="s">
        <v>23</v>
      </c>
    </row>
    <row r="319" spans="1:10" x14ac:dyDescent="0.25">
      <c r="A319" s="1">
        <v>308</v>
      </c>
      <c r="B319" s="13" t="s">
        <v>17</v>
      </c>
      <c r="C31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19" s="14">
        <v>0</v>
      </c>
      <c r="E319" s="13" t="s">
        <v>13</v>
      </c>
      <c r="F319" s="15">
        <v>46164.556944444441</v>
      </c>
      <c r="G319" s="15">
        <v>46164.853472222225</v>
      </c>
      <c r="H319" s="11" t="s">
        <v>67</v>
      </c>
      <c r="I319" s="11" t="s">
        <v>75</v>
      </c>
      <c r="J319" s="1" t="s">
        <v>23</v>
      </c>
    </row>
    <row r="320" spans="1:10" x14ac:dyDescent="0.25">
      <c r="A320" s="1">
        <v>309</v>
      </c>
      <c r="B320" s="13" t="s">
        <v>19</v>
      </c>
      <c r="C32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20" s="14">
        <v>70</v>
      </c>
      <c r="E320" s="13" t="s">
        <v>11</v>
      </c>
      <c r="F320" s="15">
        <v>46171.208333333336</v>
      </c>
      <c r="G320" s="15">
        <v>46171.681250000001</v>
      </c>
      <c r="H320" s="11" t="s">
        <v>76</v>
      </c>
      <c r="I320" s="11" t="s">
        <v>77</v>
      </c>
      <c r="J320" s="1" t="s">
        <v>23</v>
      </c>
    </row>
    <row r="321" spans="1:10" x14ac:dyDescent="0.25">
      <c r="A321" s="1">
        <v>310</v>
      </c>
      <c r="B321" s="13" t="s">
        <v>17</v>
      </c>
      <c r="C32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21" s="14">
        <v>70</v>
      </c>
      <c r="E321" s="13" t="s">
        <v>11</v>
      </c>
      <c r="F321" s="15">
        <v>46174.96597222222</v>
      </c>
      <c r="G321" s="15">
        <v>46175.465277777781</v>
      </c>
      <c r="H321" s="11" t="s">
        <v>78</v>
      </c>
      <c r="I321" s="11" t="s">
        <v>79</v>
      </c>
      <c r="J321" s="1" t="s">
        <v>23</v>
      </c>
    </row>
    <row r="322" spans="1:10" x14ac:dyDescent="0.25">
      <c r="A322" s="1">
        <v>311</v>
      </c>
      <c r="B322" s="13" t="s">
        <v>12</v>
      </c>
      <c r="C32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22" s="14">
        <v>0</v>
      </c>
      <c r="E322" s="13" t="s">
        <v>13</v>
      </c>
      <c r="F322" s="15">
        <v>46175.010416666664</v>
      </c>
      <c r="G322" s="15">
        <v>46175.112500000003</v>
      </c>
      <c r="H322" s="11" t="s">
        <v>80</v>
      </c>
      <c r="I322" s="11" t="s">
        <v>81</v>
      </c>
      <c r="J322" s="1" t="s">
        <v>23</v>
      </c>
    </row>
    <row r="323" spans="1:10" x14ac:dyDescent="0.25">
      <c r="A323" s="1">
        <v>312</v>
      </c>
      <c r="B323" s="13" t="s">
        <v>17</v>
      </c>
      <c r="C32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23" s="14">
        <v>70</v>
      </c>
      <c r="E323" s="13" t="s">
        <v>11</v>
      </c>
      <c r="F323" s="15">
        <v>46183.211111111108</v>
      </c>
      <c r="G323" s="15">
        <v>46183.908333333333</v>
      </c>
      <c r="H323" s="11" t="s">
        <v>76</v>
      </c>
      <c r="I323" s="11" t="s">
        <v>77</v>
      </c>
      <c r="J323" s="1" t="s">
        <v>23</v>
      </c>
    </row>
    <row r="324" spans="1:10" x14ac:dyDescent="0.25">
      <c r="A324" s="1">
        <v>313</v>
      </c>
      <c r="B324" s="13" t="s">
        <v>19</v>
      </c>
      <c r="C32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24" s="14">
        <v>0</v>
      </c>
      <c r="E324" s="13" t="s">
        <v>13</v>
      </c>
      <c r="F324" s="15">
        <v>46186.011111111111</v>
      </c>
      <c r="G324" s="15">
        <v>46186.208333333336</v>
      </c>
      <c r="H324" s="11" t="s">
        <v>82</v>
      </c>
      <c r="I324" s="11" t="s">
        <v>83</v>
      </c>
      <c r="J324" s="1" t="s">
        <v>23</v>
      </c>
    </row>
    <row r="325" spans="1:10" x14ac:dyDescent="0.25">
      <c r="A325" s="1">
        <v>314</v>
      </c>
      <c r="B325" s="13" t="s">
        <v>19</v>
      </c>
      <c r="C32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25" s="14">
        <v>70</v>
      </c>
      <c r="E325" s="13" t="s">
        <v>11</v>
      </c>
      <c r="F325" s="15">
        <v>46186.208333333336</v>
      </c>
      <c r="G325" s="15">
        <v>46186.843055555553</v>
      </c>
      <c r="H325" s="11" t="s">
        <v>76</v>
      </c>
      <c r="I325" s="11" t="s">
        <v>77</v>
      </c>
      <c r="J325" s="1" t="s">
        <v>23</v>
      </c>
    </row>
    <row r="326" spans="1:10" x14ac:dyDescent="0.25">
      <c r="A326" s="1">
        <v>315</v>
      </c>
      <c r="B326" s="13" t="s">
        <v>17</v>
      </c>
      <c r="C32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26" s="14">
        <v>100</v>
      </c>
      <c r="E326" s="13" t="s">
        <v>11</v>
      </c>
      <c r="F326" s="15">
        <v>46186.011111111111</v>
      </c>
      <c r="G326" s="15">
        <v>46186.729166666664</v>
      </c>
      <c r="H326" s="11" t="s">
        <v>82</v>
      </c>
      <c r="I326" s="11" t="s">
        <v>83</v>
      </c>
      <c r="J326" s="1" t="s">
        <v>23</v>
      </c>
    </row>
    <row r="327" spans="1:10" x14ac:dyDescent="0.25">
      <c r="A327" s="1">
        <v>316</v>
      </c>
      <c r="B327" s="13" t="s">
        <v>19</v>
      </c>
      <c r="C32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27" s="14">
        <v>90</v>
      </c>
      <c r="E327" s="13" t="s">
        <v>11</v>
      </c>
      <c r="F327" s="15">
        <v>46188.206250000003</v>
      </c>
      <c r="G327" s="15">
        <v>46188.365277777775</v>
      </c>
      <c r="H327" s="11" t="s">
        <v>84</v>
      </c>
      <c r="I327" s="11" t="s">
        <v>85</v>
      </c>
      <c r="J327" s="1" t="s">
        <v>23</v>
      </c>
    </row>
    <row r="328" spans="1:10" x14ac:dyDescent="0.25">
      <c r="A328" s="1">
        <v>318</v>
      </c>
      <c r="B328" s="13" t="s">
        <v>86</v>
      </c>
      <c r="C32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28" s="14">
        <v>0</v>
      </c>
      <c r="E328" s="13" t="s">
        <v>13</v>
      </c>
      <c r="F328" s="15">
        <v>46192.025694444441</v>
      </c>
      <c r="G328" s="15">
        <v>46192.5</v>
      </c>
      <c r="H328" s="11" t="s">
        <v>87</v>
      </c>
      <c r="I328" s="11" t="s">
        <v>88</v>
      </c>
      <c r="J328" s="1" t="s">
        <v>23</v>
      </c>
    </row>
    <row r="329" spans="1:10" x14ac:dyDescent="0.25">
      <c r="A329" s="1">
        <v>319</v>
      </c>
      <c r="B329" s="13" t="s">
        <v>19</v>
      </c>
      <c r="C32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29" s="14">
        <v>130</v>
      </c>
      <c r="E329" s="13" t="s">
        <v>11</v>
      </c>
      <c r="F329" s="15">
        <v>46198.567361111112</v>
      </c>
      <c r="G329" s="15">
        <v>46198.677083333336</v>
      </c>
      <c r="H329" s="11" t="s">
        <v>89</v>
      </c>
      <c r="I329" s="11" t="s">
        <v>90</v>
      </c>
      <c r="J329" s="1" t="s">
        <v>23</v>
      </c>
    </row>
    <row r="330" spans="1:10" x14ac:dyDescent="0.25">
      <c r="A330" s="1">
        <v>320</v>
      </c>
      <c r="B330" s="13" t="s">
        <v>17</v>
      </c>
      <c r="C33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30" s="14">
        <v>75</v>
      </c>
      <c r="E330" s="13" t="s">
        <v>11</v>
      </c>
      <c r="F330" s="15">
        <v>46199.388888888891</v>
      </c>
      <c r="G330" s="15">
        <v>46199.916666666664</v>
      </c>
      <c r="H330" s="11" t="s">
        <v>76</v>
      </c>
      <c r="I330" s="11" t="s">
        <v>77</v>
      </c>
      <c r="J330" s="1" t="s">
        <v>23</v>
      </c>
    </row>
    <row r="331" spans="1:10" x14ac:dyDescent="0.25">
      <c r="A331" s="1">
        <v>321</v>
      </c>
      <c r="B331" s="13" t="s">
        <v>12</v>
      </c>
      <c r="C33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31" s="14">
        <v>0</v>
      </c>
      <c r="E331" s="14" t="s">
        <v>13</v>
      </c>
      <c r="F331" s="15">
        <v>46204.147916666669</v>
      </c>
      <c r="G331" s="15">
        <v>46204.519444444442</v>
      </c>
      <c r="H331" s="11" t="s">
        <v>91</v>
      </c>
      <c r="I331" s="11" t="s">
        <v>92</v>
      </c>
      <c r="J331" s="1" t="s">
        <v>23</v>
      </c>
    </row>
    <row r="332" spans="1:10" x14ac:dyDescent="0.25">
      <c r="A332" s="1">
        <v>322</v>
      </c>
      <c r="B332" s="13" t="s">
        <v>12</v>
      </c>
      <c r="C33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32" s="14">
        <v>262</v>
      </c>
      <c r="E332" s="13" t="s">
        <v>11</v>
      </c>
      <c r="F332" s="15">
        <v>46205.393055555556</v>
      </c>
      <c r="G332" s="15">
        <v>46205.420138888891</v>
      </c>
      <c r="H332" s="11" t="s">
        <v>93</v>
      </c>
      <c r="I332" s="11" t="s">
        <v>94</v>
      </c>
      <c r="J332" s="1" t="s">
        <v>23</v>
      </c>
    </row>
    <row r="333" spans="1:10" x14ac:dyDescent="0.25">
      <c r="A333" s="1">
        <v>323</v>
      </c>
      <c r="B333" s="13" t="s">
        <v>86</v>
      </c>
      <c r="C33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33" s="14">
        <v>0</v>
      </c>
      <c r="E333" s="13" t="s">
        <v>13</v>
      </c>
      <c r="F333" s="15">
        <v>46207.680555555555</v>
      </c>
      <c r="G333" s="15">
        <v>46207.865972222222</v>
      </c>
      <c r="H333" s="11" t="s">
        <v>95</v>
      </c>
      <c r="I333" s="11" t="s">
        <v>96</v>
      </c>
      <c r="J333" s="1" t="s">
        <v>23</v>
      </c>
    </row>
    <row r="334" spans="1:10" x14ac:dyDescent="0.25">
      <c r="A334" s="1">
        <v>324</v>
      </c>
      <c r="B334" s="13" t="s">
        <v>20</v>
      </c>
      <c r="C33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34" s="14">
        <v>0</v>
      </c>
      <c r="E334" s="13" t="s">
        <v>13</v>
      </c>
      <c r="F334" s="15">
        <v>46207.869444444441</v>
      </c>
      <c r="G334" s="15">
        <v>46208.73333333333</v>
      </c>
      <c r="H334" s="11" t="s">
        <v>97</v>
      </c>
      <c r="I334" s="11" t="s">
        <v>98</v>
      </c>
      <c r="J334" s="1" t="s">
        <v>23</v>
      </c>
    </row>
    <row r="335" spans="1:10" x14ac:dyDescent="0.25">
      <c r="A335" s="1">
        <v>325</v>
      </c>
      <c r="B335" s="13" t="s">
        <v>86</v>
      </c>
      <c r="C33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35" s="14">
        <v>0</v>
      </c>
      <c r="E335" s="13" t="s">
        <v>13</v>
      </c>
      <c r="F335" s="15">
        <v>46208</v>
      </c>
      <c r="G335" s="15">
        <v>46208.607638888891</v>
      </c>
      <c r="H335" s="11" t="s">
        <v>97</v>
      </c>
      <c r="I335" s="11" t="s">
        <v>98</v>
      </c>
      <c r="J335" s="1" t="s">
        <v>23</v>
      </c>
    </row>
    <row r="336" spans="1:10" x14ac:dyDescent="0.25">
      <c r="A336" s="1">
        <v>326</v>
      </c>
      <c r="B336" s="13" t="s">
        <v>20</v>
      </c>
      <c r="C33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36" s="14">
        <v>0</v>
      </c>
      <c r="E336" s="13" t="s">
        <v>13</v>
      </c>
      <c r="F336" s="15">
        <v>46209.345833333333</v>
      </c>
      <c r="G336" s="15">
        <v>46209.997916666667</v>
      </c>
      <c r="H336" s="11" t="s">
        <v>97</v>
      </c>
      <c r="I336" s="11" t="s">
        <v>98</v>
      </c>
      <c r="J336" s="1" t="s">
        <v>23</v>
      </c>
    </row>
    <row r="337" spans="1:10" x14ac:dyDescent="0.25">
      <c r="A337" s="1">
        <v>327</v>
      </c>
      <c r="B337" s="13" t="s">
        <v>19</v>
      </c>
      <c r="C33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37" s="14">
        <v>70</v>
      </c>
      <c r="E337" s="13" t="s">
        <v>11</v>
      </c>
      <c r="F337" s="15">
        <v>46209.348611111112</v>
      </c>
      <c r="G337" s="15">
        <v>46209.999305555553</v>
      </c>
      <c r="H337" s="11" t="s">
        <v>76</v>
      </c>
      <c r="I337" s="11" t="s">
        <v>77</v>
      </c>
      <c r="J337" s="1" t="s">
        <v>23</v>
      </c>
    </row>
    <row r="338" spans="1:10" x14ac:dyDescent="0.25">
      <c r="A338" s="1">
        <v>328</v>
      </c>
      <c r="B338" s="13" t="s">
        <v>16</v>
      </c>
      <c r="C33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38" s="14">
        <v>0</v>
      </c>
      <c r="E338" s="13" t="s">
        <v>13</v>
      </c>
      <c r="F338" s="15">
        <v>46209.40625</v>
      </c>
      <c r="G338" s="15">
        <v>46209.4375</v>
      </c>
      <c r="H338" s="11" t="s">
        <v>99</v>
      </c>
      <c r="I338" s="11" t="s">
        <v>100</v>
      </c>
      <c r="J338" s="1" t="s">
        <v>23</v>
      </c>
    </row>
    <row r="339" spans="1:10" x14ac:dyDescent="0.25">
      <c r="A339" s="1">
        <v>329</v>
      </c>
      <c r="B339" s="13" t="s">
        <v>20</v>
      </c>
      <c r="C33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39" s="14">
        <v>14</v>
      </c>
      <c r="E339" s="13" t="s">
        <v>11</v>
      </c>
      <c r="F339" s="15">
        <v>46210.06527777778</v>
      </c>
      <c r="G339" s="15">
        <v>46212.39166666667</v>
      </c>
      <c r="H339" s="11" t="s">
        <v>101</v>
      </c>
      <c r="I339" s="11" t="s">
        <v>102</v>
      </c>
      <c r="J339" s="1" t="s">
        <v>23</v>
      </c>
    </row>
    <row r="340" spans="1:10" x14ac:dyDescent="0.25">
      <c r="A340" s="1">
        <v>330</v>
      </c>
      <c r="B340" s="13" t="s">
        <v>20</v>
      </c>
      <c r="C34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40" s="14">
        <v>0</v>
      </c>
      <c r="E340" s="13" t="s">
        <v>13</v>
      </c>
      <c r="F340" s="15">
        <v>46210.694444444445</v>
      </c>
      <c r="G340" s="15">
        <v>46211.429166666669</v>
      </c>
      <c r="H340" s="11" t="s">
        <v>95</v>
      </c>
      <c r="I340" s="11" t="s">
        <v>103</v>
      </c>
      <c r="J340" s="1" t="s">
        <v>23</v>
      </c>
    </row>
    <row r="341" spans="1:10" x14ac:dyDescent="0.25">
      <c r="A341" s="1">
        <v>331</v>
      </c>
      <c r="B341" s="13" t="s">
        <v>17</v>
      </c>
      <c r="C34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41" s="14">
        <v>70</v>
      </c>
      <c r="E341" s="13" t="s">
        <v>11</v>
      </c>
      <c r="F341" s="15">
        <v>46210.375</v>
      </c>
      <c r="G341" s="15">
        <v>46210.916666666664</v>
      </c>
      <c r="H341" s="11" t="s">
        <v>76</v>
      </c>
      <c r="I341" s="11" t="s">
        <v>77</v>
      </c>
      <c r="J341" s="1" t="s">
        <v>23</v>
      </c>
    </row>
    <row r="342" spans="1:10" x14ac:dyDescent="0.25">
      <c r="A342" s="1">
        <v>332</v>
      </c>
      <c r="B342" s="13" t="s">
        <v>19</v>
      </c>
      <c r="C34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42" s="14">
        <v>70</v>
      </c>
      <c r="E342" s="13" t="s">
        <v>11</v>
      </c>
      <c r="F342" s="15">
        <v>46211.326388888891</v>
      </c>
      <c r="G342" s="15">
        <v>46211.999305555553</v>
      </c>
      <c r="H342" s="11" t="s">
        <v>76</v>
      </c>
      <c r="I342" s="11" t="s">
        <v>77</v>
      </c>
      <c r="J342" s="1" t="s">
        <v>23</v>
      </c>
    </row>
    <row r="343" spans="1:10" x14ac:dyDescent="0.25">
      <c r="A343" s="1">
        <v>333</v>
      </c>
      <c r="B343" s="13" t="s">
        <v>17</v>
      </c>
      <c r="C34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43" s="14">
        <v>75</v>
      </c>
      <c r="E343" s="13" t="s">
        <v>11</v>
      </c>
      <c r="F343" s="15">
        <v>46223.669444444444</v>
      </c>
      <c r="G343" s="15">
        <v>46223.743055555555</v>
      </c>
      <c r="H343" s="11" t="s">
        <v>76</v>
      </c>
      <c r="I343" s="11" t="s">
        <v>77</v>
      </c>
      <c r="J343" s="1" t="s">
        <v>23</v>
      </c>
    </row>
    <row r="344" spans="1:10" x14ac:dyDescent="0.25">
      <c r="A344" s="1">
        <v>334</v>
      </c>
      <c r="B344" s="13" t="s">
        <v>19</v>
      </c>
      <c r="C344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44" s="14">
        <v>75</v>
      </c>
      <c r="E344" s="13" t="s">
        <v>11</v>
      </c>
      <c r="F344" s="15">
        <v>46223.669444444444</v>
      </c>
      <c r="G344" s="15">
        <v>46223.699305555558</v>
      </c>
      <c r="H344" s="11" t="s">
        <v>76</v>
      </c>
      <c r="I344" s="11" t="s">
        <v>77</v>
      </c>
      <c r="J344" s="1" t="s">
        <v>23</v>
      </c>
    </row>
    <row r="345" spans="1:10" x14ac:dyDescent="0.25">
      <c r="A345" s="1">
        <v>335</v>
      </c>
      <c r="B345" s="13" t="s">
        <v>12</v>
      </c>
      <c r="C345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45" s="14">
        <v>0</v>
      </c>
      <c r="E345" s="13" t="s">
        <v>13</v>
      </c>
      <c r="F345" s="15">
        <v>46232.459722222222</v>
      </c>
      <c r="G345" s="15">
        <v>46232.568749999999</v>
      </c>
      <c r="H345" s="11" t="s">
        <v>104</v>
      </c>
      <c r="I345" s="11" t="s">
        <v>105</v>
      </c>
      <c r="J345" s="1" t="s">
        <v>23</v>
      </c>
    </row>
    <row r="346" spans="1:10" x14ac:dyDescent="0.25">
      <c r="A346" s="1">
        <v>336</v>
      </c>
      <c r="B346" s="13" t="s">
        <v>12</v>
      </c>
      <c r="C346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46" s="14">
        <v>0</v>
      </c>
      <c r="E346" s="13" t="s">
        <v>13</v>
      </c>
      <c r="F346" s="15">
        <v>46248.513888888891</v>
      </c>
      <c r="G346" s="15">
        <v>46248.813194444447</v>
      </c>
      <c r="H346" s="11" t="s">
        <v>106</v>
      </c>
      <c r="I346" s="11" t="s">
        <v>107</v>
      </c>
      <c r="J346" s="1" t="s">
        <v>23</v>
      </c>
    </row>
    <row r="347" spans="1:10" x14ac:dyDescent="0.25">
      <c r="A347" s="1">
        <v>337</v>
      </c>
      <c r="B347" s="13" t="s">
        <v>12</v>
      </c>
      <c r="C347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47" s="14">
        <v>262</v>
      </c>
      <c r="E347" s="13" t="s">
        <v>11</v>
      </c>
      <c r="F347" s="15">
        <v>46249.194444444445</v>
      </c>
      <c r="G347" s="15">
        <v>46249.208333333336</v>
      </c>
      <c r="H347" s="11" t="s">
        <v>108</v>
      </c>
      <c r="I347" s="11" t="s">
        <v>109</v>
      </c>
      <c r="J347" s="1" t="s">
        <v>23</v>
      </c>
    </row>
    <row r="348" spans="1:10" x14ac:dyDescent="0.25">
      <c r="A348" s="1">
        <v>338</v>
      </c>
      <c r="B348" s="13" t="s">
        <v>17</v>
      </c>
      <c r="C348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48" s="14">
        <v>70</v>
      </c>
      <c r="E348" s="13" t="s">
        <v>11</v>
      </c>
      <c r="F348" s="15">
        <v>46262.939583333333</v>
      </c>
      <c r="G348" s="15">
        <v>46263.368750000001</v>
      </c>
      <c r="H348" s="11" t="s">
        <v>110</v>
      </c>
      <c r="I348" s="11" t="s">
        <v>111</v>
      </c>
      <c r="J348" s="1" t="s">
        <v>23</v>
      </c>
    </row>
    <row r="349" spans="1:10" x14ac:dyDescent="0.25">
      <c r="A349" s="1">
        <v>339</v>
      </c>
      <c r="B349" s="13" t="s">
        <v>12</v>
      </c>
      <c r="C349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49" s="14">
        <v>262</v>
      </c>
      <c r="E349" s="13" t="s">
        <v>11</v>
      </c>
      <c r="F349" s="15">
        <v>46270.692361111112</v>
      </c>
      <c r="G349" s="15">
        <v>46271.84375</v>
      </c>
      <c r="H349" s="11" t="s">
        <v>125</v>
      </c>
      <c r="I349" s="11" t="s">
        <v>126</v>
      </c>
      <c r="J349" s="1" t="s">
        <v>23</v>
      </c>
    </row>
    <row r="350" spans="1:10" x14ac:dyDescent="0.25">
      <c r="A350" s="1">
        <v>340</v>
      </c>
      <c r="B350" s="13" t="s">
        <v>12</v>
      </c>
      <c r="C350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50" s="14">
        <v>262</v>
      </c>
      <c r="E350" s="13" t="s">
        <v>11</v>
      </c>
      <c r="F350" s="15">
        <v>46275.823611111111</v>
      </c>
      <c r="G350" s="15">
        <v>46275.894444444442</v>
      </c>
      <c r="H350" s="11" t="s">
        <v>125</v>
      </c>
      <c r="I350" s="11" t="s">
        <v>127</v>
      </c>
      <c r="J350" s="1" t="s">
        <v>23</v>
      </c>
    </row>
    <row r="351" spans="1:10" x14ac:dyDescent="0.25">
      <c r="A351" s="1">
        <v>341</v>
      </c>
      <c r="B351" s="13" t="s">
        <v>16</v>
      </c>
      <c r="C351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51" s="14">
        <v>0</v>
      </c>
      <c r="E351" s="13" t="s">
        <v>13</v>
      </c>
      <c r="F351" s="15">
        <v>46276.121527777781</v>
      </c>
      <c r="G351" s="15">
        <v>46276.189583333333</v>
      </c>
      <c r="H351" s="11" t="s">
        <v>128</v>
      </c>
      <c r="I351" s="11" t="s">
        <v>129</v>
      </c>
      <c r="J351" s="1" t="s">
        <v>23</v>
      </c>
    </row>
    <row r="352" spans="1:10" x14ac:dyDescent="0.25">
      <c r="A352" s="1">
        <v>342</v>
      </c>
      <c r="B352" s="13" t="s">
        <v>12</v>
      </c>
      <c r="C352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52" s="14">
        <v>262</v>
      </c>
      <c r="E352" s="13" t="s">
        <v>11</v>
      </c>
      <c r="F352" s="15">
        <v>46277.865277777775</v>
      </c>
      <c r="G352" s="15">
        <v>46277.884027777778</v>
      </c>
      <c r="H352" s="11" t="s">
        <v>125</v>
      </c>
      <c r="I352" s="11" t="s">
        <v>127</v>
      </c>
      <c r="J352" s="1" t="s">
        <v>23</v>
      </c>
    </row>
    <row r="353" spans="1:10" x14ac:dyDescent="0.25">
      <c r="A353" s="1">
        <v>343</v>
      </c>
      <c r="B353" s="13" t="s">
        <v>12</v>
      </c>
      <c r="C353" s="13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53" s="14">
        <v>0</v>
      </c>
      <c r="E353" s="13" t="s">
        <v>13</v>
      </c>
      <c r="F353" s="15">
        <v>46299.243055555555</v>
      </c>
      <c r="G353" s="15">
        <v>46299.673611111109</v>
      </c>
      <c r="H353" s="11" t="s">
        <v>95</v>
      </c>
      <c r="I353" s="11" t="s">
        <v>130</v>
      </c>
      <c r="J353" s="1" t="s">
        <v>23</v>
      </c>
    </row>
    <row r="354" spans="1:10" x14ac:dyDescent="0.25">
      <c r="A354" s="1">
        <v>344</v>
      </c>
      <c r="B354" s="13"/>
      <c r="C354" s="16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54" s="14">
        <v>262</v>
      </c>
      <c r="E354" s="13" t="s">
        <v>11</v>
      </c>
      <c r="F354" s="15">
        <v>46298.354166666664</v>
      </c>
      <c r="G354" s="15">
        <v>46298.465277777781</v>
      </c>
      <c r="H354" s="11" t="s">
        <v>125</v>
      </c>
      <c r="I354" s="11" t="s">
        <v>127</v>
      </c>
    </row>
    <row r="355" spans="1:10" x14ac:dyDescent="0.25">
      <c r="A355" s="1">
        <v>345</v>
      </c>
      <c r="B355" s="13" t="s">
        <v>17</v>
      </c>
      <c r="C355" s="16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CEM</v>
      </c>
      <c r="D355" s="14">
        <v>70</v>
      </c>
      <c r="E355" s="13" t="s">
        <v>11</v>
      </c>
      <c r="F355" s="15">
        <v>46298.188194444447</v>
      </c>
      <c r="G355" s="15">
        <v>46298.261111111111</v>
      </c>
      <c r="H355" s="11"/>
      <c r="I355" s="11"/>
    </row>
    <row r="356" spans="1:10" x14ac:dyDescent="0.25">
      <c r="A356" s="1">
        <v>346</v>
      </c>
      <c r="B356" s="13"/>
      <c r="C356" s="16" t="str">
        <f>IF(OR(BD_GEN_CL[[#This Row],[Unidad]]="CTM3",BD_GEN_CL[[#This Row],[Unidad]]="CTA",BD_GEN_CL[[#This Row],[Unidad]]="CTH",BD_GEN_CL[[#This Row],[Unidad]]="IEM",BD_GEN_CL[[#This Row],[Unidad]]="CTM1",BD_GEN_CL[[#This Row],[Unidad]]="CTM2"),"CEM","CET")</f>
        <v>CET</v>
      </c>
      <c r="D356" s="14"/>
      <c r="E356" s="13"/>
      <c r="F356" s="15"/>
      <c r="G356" s="15"/>
      <c r="H356" s="11"/>
      <c r="I356" s="11"/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F1036-D41E-43A4-9E6E-CBBB62F3CD31}">
  <dimension ref="A1:D11"/>
  <sheetViews>
    <sheetView workbookViewId="0">
      <selection activeCell="C8" sqref="C8"/>
    </sheetView>
  </sheetViews>
  <sheetFormatPr baseColWidth="10" defaultColWidth="11.42578125" defaultRowHeight="15" x14ac:dyDescent="0.25"/>
  <cols>
    <col min="3" max="3" width="13.28515625" customWidth="1"/>
    <col min="4" max="4" width="12.85546875" customWidth="1"/>
  </cols>
  <sheetData>
    <row r="1" spans="1:4" x14ac:dyDescent="0.25">
      <c r="A1" t="s">
        <v>1</v>
      </c>
      <c r="B1" t="s">
        <v>2</v>
      </c>
      <c r="C1" t="s">
        <v>112</v>
      </c>
      <c r="D1" t="s">
        <v>113</v>
      </c>
    </row>
    <row r="2" spans="1:4" x14ac:dyDescent="0.25">
      <c r="A2" t="s">
        <v>16</v>
      </c>
      <c r="B2" t="s">
        <v>114</v>
      </c>
      <c r="C2">
        <v>245.84</v>
      </c>
      <c r="D2">
        <v>234.67</v>
      </c>
    </row>
    <row r="3" spans="1:4" x14ac:dyDescent="0.25">
      <c r="A3" t="s">
        <v>17</v>
      </c>
      <c r="B3" t="s">
        <v>114</v>
      </c>
      <c r="C3">
        <v>176.6</v>
      </c>
      <c r="D3">
        <v>161.15</v>
      </c>
    </row>
    <row r="4" spans="1:4" x14ac:dyDescent="0.25">
      <c r="A4" t="s">
        <v>19</v>
      </c>
      <c r="B4" t="s">
        <v>114</v>
      </c>
      <c r="C4">
        <v>174.26</v>
      </c>
      <c r="D4">
        <v>157.61000000000001</v>
      </c>
    </row>
    <row r="5" spans="1:4" x14ac:dyDescent="0.25">
      <c r="A5" t="s">
        <v>14</v>
      </c>
      <c r="B5" t="s">
        <v>114</v>
      </c>
      <c r="C5">
        <v>376.96</v>
      </c>
      <c r="D5">
        <v>347.95</v>
      </c>
    </row>
    <row r="6" spans="1:4" x14ac:dyDescent="0.25">
      <c r="A6" t="s">
        <v>12</v>
      </c>
      <c r="B6" t="s">
        <v>115</v>
      </c>
      <c r="C6">
        <v>399.41</v>
      </c>
      <c r="D6">
        <v>393.57</v>
      </c>
    </row>
    <row r="7" spans="1:4" x14ac:dyDescent="0.25">
      <c r="A7" t="s">
        <v>15</v>
      </c>
      <c r="B7" t="s">
        <v>115</v>
      </c>
      <c r="C7">
        <v>20</v>
      </c>
      <c r="D7">
        <v>19.87</v>
      </c>
    </row>
    <row r="8" spans="1:4" x14ac:dyDescent="0.25">
      <c r="A8" t="s">
        <v>20</v>
      </c>
      <c r="B8" t="s">
        <v>115</v>
      </c>
      <c r="C8">
        <v>21</v>
      </c>
      <c r="D8">
        <v>19.57</v>
      </c>
    </row>
    <row r="9" spans="1:4" x14ac:dyDescent="0.25">
      <c r="A9" t="s">
        <v>86</v>
      </c>
      <c r="B9" t="s">
        <v>115</v>
      </c>
      <c r="C9">
        <v>21</v>
      </c>
      <c r="D9">
        <v>19.86</v>
      </c>
    </row>
    <row r="10" spans="1:4" x14ac:dyDescent="0.25">
      <c r="A10" t="s">
        <v>10</v>
      </c>
      <c r="B10" t="s">
        <v>114</v>
      </c>
      <c r="C10">
        <v>131</v>
      </c>
      <c r="D10">
        <v>120</v>
      </c>
    </row>
    <row r="11" spans="1:4" x14ac:dyDescent="0.25">
      <c r="A11" t="s">
        <v>18</v>
      </c>
      <c r="B11" t="s">
        <v>114</v>
      </c>
      <c r="C11">
        <v>112</v>
      </c>
      <c r="D11">
        <v>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20E0F-EC16-4A8C-9E04-C7F8849C4B4D}">
  <dimension ref="A1:E9"/>
  <sheetViews>
    <sheetView workbookViewId="0">
      <selection activeCell="D29" sqref="D29"/>
    </sheetView>
  </sheetViews>
  <sheetFormatPr baseColWidth="10" defaultColWidth="11.42578125" defaultRowHeight="15" x14ac:dyDescent="0.25"/>
  <cols>
    <col min="2" max="2" width="19.7109375" bestFit="1" customWidth="1"/>
    <col min="3" max="3" width="17.28515625" bestFit="1" customWidth="1"/>
    <col min="4" max="4" width="25.28515625" bestFit="1" customWidth="1"/>
    <col min="5" max="5" width="30.42578125" bestFit="1" customWidth="1"/>
  </cols>
  <sheetData>
    <row r="1" spans="1:5" x14ac:dyDescent="0.25">
      <c r="A1" t="s">
        <v>1</v>
      </c>
      <c r="B1" t="s">
        <v>5</v>
      </c>
      <c r="C1" t="s">
        <v>116</v>
      </c>
      <c r="D1" t="s">
        <v>117</v>
      </c>
      <c r="E1" t="s">
        <v>7</v>
      </c>
    </row>
    <row r="2" spans="1:5" x14ac:dyDescent="0.25">
      <c r="A2" t="s">
        <v>14</v>
      </c>
      <c r="B2" s="3">
        <v>46023</v>
      </c>
      <c r="C2" s="3">
        <v>46295.999988425923</v>
      </c>
      <c r="D2" s="14">
        <f>Indisp_Prog[[#This Row],[Fecha_Hora_Fin]]-Indisp_Prog[[#This Row],[Fecha_Hora_Inicio]]</f>
        <v>272.99998842592322</v>
      </c>
      <c r="E2" t="s">
        <v>118</v>
      </c>
    </row>
    <row r="3" spans="1:5" x14ac:dyDescent="0.25">
      <c r="A3" t="s">
        <v>12</v>
      </c>
      <c r="B3" s="3">
        <v>46134</v>
      </c>
      <c r="C3" s="3">
        <v>46141.638194444444</v>
      </c>
      <c r="D3" s="14">
        <v>7.6381944444437977</v>
      </c>
      <c r="E3" t="s">
        <v>119</v>
      </c>
    </row>
    <row r="4" spans="1:5" x14ac:dyDescent="0.25">
      <c r="A4" t="s">
        <v>17</v>
      </c>
      <c r="B4" s="3">
        <v>46235</v>
      </c>
      <c r="C4" s="3">
        <v>46261.82984953704</v>
      </c>
      <c r="D4" s="14">
        <f>Indisp_Prog[[#This Row],[Fecha_Hora_Fin]]-Indisp_Prog[[#This Row],[Fecha_Hora_Inicio]]</f>
        <v>26.829849537039991</v>
      </c>
      <c r="E4" t="s">
        <v>120</v>
      </c>
    </row>
    <row r="5" spans="1:5" x14ac:dyDescent="0.25">
      <c r="A5" t="s">
        <v>12</v>
      </c>
      <c r="B5" s="3">
        <v>46330</v>
      </c>
      <c r="C5" s="3">
        <v>46348.999305555553</v>
      </c>
      <c r="D5" s="14">
        <v>18</v>
      </c>
      <c r="E5" t="s">
        <v>121</v>
      </c>
    </row>
    <row r="6" spans="1:5" x14ac:dyDescent="0.25">
      <c r="A6" t="s">
        <v>16</v>
      </c>
      <c r="B6" s="3">
        <v>46296</v>
      </c>
      <c r="C6" s="3">
        <v>46355.999988425923</v>
      </c>
      <c r="D6" s="14">
        <v>59.99998842592322</v>
      </c>
      <c r="E6" t="s">
        <v>121</v>
      </c>
    </row>
    <row r="7" spans="1:5" x14ac:dyDescent="0.25">
      <c r="A7" t="s">
        <v>17</v>
      </c>
      <c r="B7" s="3">
        <v>46163</v>
      </c>
      <c r="C7" s="3">
        <v>46166.999988425923</v>
      </c>
      <c r="D7" s="14">
        <v>3.9999884259232203</v>
      </c>
      <c r="E7" t="s">
        <v>122</v>
      </c>
    </row>
    <row r="8" spans="1:5" x14ac:dyDescent="0.25">
      <c r="A8" t="s">
        <v>19</v>
      </c>
      <c r="B8" s="3">
        <v>46144.101388888892</v>
      </c>
      <c r="C8" s="3">
        <v>46152.989583333336</v>
      </c>
      <c r="D8" s="14">
        <f>Indisp_Prog[[#This Row],[Fecha_Hora_Fin]]-Indisp_Prog[[#This Row],[Fecha_Hora_Inicio]]</f>
        <v>8.8881944444437977</v>
      </c>
      <c r="E8" t="s">
        <v>122</v>
      </c>
    </row>
    <row r="9" spans="1:5" x14ac:dyDescent="0.25">
      <c r="A9" t="s">
        <v>19</v>
      </c>
      <c r="B9" s="3">
        <v>46188.361111111109</v>
      </c>
      <c r="C9" s="3">
        <v>46194.5</v>
      </c>
      <c r="D9" s="14">
        <f>Indisp_Prog[[#This Row],[Fecha_Hora_Fin]]-Indisp_Prog[[#This Row],[Fecha_Hora_Inicio]]</f>
        <v>6.1388888888905058</v>
      </c>
      <c r="E9" t="s">
        <v>122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AFC4B-C207-418A-8501-0E1EC9E673B7}">
  <dimension ref="A1:C11"/>
  <sheetViews>
    <sheetView workbookViewId="0"/>
  </sheetViews>
  <sheetFormatPr baseColWidth="10" defaultColWidth="11.42578125" defaultRowHeight="15" x14ac:dyDescent="0.25"/>
  <cols>
    <col min="1" max="1" width="9.7109375" bestFit="1" customWidth="1"/>
    <col min="2" max="2" width="21.5703125" bestFit="1" customWidth="1"/>
    <col min="3" max="3" width="19.28515625" bestFit="1" customWidth="1"/>
  </cols>
  <sheetData>
    <row r="1" spans="1:3" x14ac:dyDescent="0.25">
      <c r="A1" t="s">
        <v>1</v>
      </c>
      <c r="B1" t="s">
        <v>123</v>
      </c>
      <c r="C1" t="s">
        <v>124</v>
      </c>
    </row>
    <row r="2" spans="1:3" x14ac:dyDescent="0.25">
      <c r="A2" t="s">
        <v>10</v>
      </c>
      <c r="B2" s="7">
        <v>35065</v>
      </c>
      <c r="C2" s="7">
        <v>46022</v>
      </c>
    </row>
    <row r="3" spans="1:3" x14ac:dyDescent="0.25">
      <c r="A3" t="s">
        <v>18</v>
      </c>
      <c r="B3" s="7">
        <v>35796</v>
      </c>
      <c r="C3" s="7">
        <v>46022</v>
      </c>
    </row>
    <row r="4" spans="1:3" x14ac:dyDescent="0.25">
      <c r="A4" t="s">
        <v>20</v>
      </c>
      <c r="B4" s="7">
        <v>27760</v>
      </c>
      <c r="C4" s="7">
        <v>46517</v>
      </c>
    </row>
    <row r="5" spans="1:3" x14ac:dyDescent="0.25">
      <c r="A5" t="s">
        <v>86</v>
      </c>
      <c r="B5" s="7">
        <v>27760</v>
      </c>
      <c r="C5" s="7">
        <v>46517</v>
      </c>
    </row>
    <row r="6" spans="1:3" x14ac:dyDescent="0.25">
      <c r="A6" t="s">
        <v>15</v>
      </c>
      <c r="B6" s="7">
        <v>34335</v>
      </c>
      <c r="C6" s="7">
        <v>46631</v>
      </c>
    </row>
    <row r="7" spans="1:3" x14ac:dyDescent="0.25">
      <c r="A7" t="s">
        <v>16</v>
      </c>
      <c r="B7" s="7">
        <v>36526</v>
      </c>
      <c r="C7" s="7">
        <v>48579</v>
      </c>
    </row>
    <row r="8" spans="1:3" x14ac:dyDescent="0.25">
      <c r="A8" t="s">
        <v>17</v>
      </c>
      <c r="B8" s="7">
        <v>40544</v>
      </c>
      <c r="C8" s="7">
        <v>46517</v>
      </c>
    </row>
    <row r="9" spans="1:3" x14ac:dyDescent="0.25">
      <c r="A9" t="s">
        <v>19</v>
      </c>
      <c r="B9" s="7">
        <v>40909</v>
      </c>
      <c r="C9" s="7">
        <v>46517</v>
      </c>
    </row>
    <row r="10" spans="1:3" x14ac:dyDescent="0.25">
      <c r="A10" t="s">
        <v>14</v>
      </c>
      <c r="B10" s="7">
        <v>43466</v>
      </c>
      <c r="C10" s="7">
        <v>48579</v>
      </c>
    </row>
    <row r="11" spans="1:3" x14ac:dyDescent="0.25">
      <c r="A11" t="s">
        <v>12</v>
      </c>
      <c r="B11" s="7">
        <v>36892</v>
      </c>
      <c r="C11" s="7">
        <v>49674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3ab045e-9213-4eea-a9f2-a5b809105d1e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7AAE8C8816FD47B559A0CCF555AFF0" ma:contentTypeVersion="10" ma:contentTypeDescription="Crear nuevo documento." ma:contentTypeScope="" ma:versionID="5c9910934a78ddf693a6b708b52e9b37">
  <xsd:schema xmlns:xsd="http://www.w3.org/2001/XMLSchema" xmlns:xs="http://www.w3.org/2001/XMLSchema" xmlns:p="http://schemas.microsoft.com/office/2006/metadata/properties" xmlns:ns2="f95d585e-e7a7-414c-955d-38a47c8579bd" xmlns:ns3="33ab045e-9213-4eea-a9f2-a5b809105d1e" targetNamespace="http://schemas.microsoft.com/office/2006/metadata/properties" ma:root="true" ma:fieldsID="a9c61c95b4e11caed4e46447c2ca01e7" ns2:_="" ns3:_="">
    <xsd:import namespace="f95d585e-e7a7-414c-955d-38a47c8579bd"/>
    <xsd:import namespace="33ab045e-9213-4eea-a9f2-a5b809105d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5d585e-e7a7-414c-955d-38a47c8579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ab045e-9213-4eea-a9f2-a5b809105d1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A15667-1AA5-4404-9771-E51F1A78CC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DCBC87-226F-4D83-ADFE-2178829A4AE4}">
  <ds:schemaRefs>
    <ds:schemaRef ds:uri="http://schemas.microsoft.com/office/2006/metadata/properties"/>
    <ds:schemaRef ds:uri="http://schemas.microsoft.com/office/infopath/2007/PartnerControls"/>
    <ds:schemaRef ds:uri="33ab045e-9213-4eea-a9f2-a5b809105d1e"/>
  </ds:schemaRefs>
</ds:datastoreItem>
</file>

<file path=customXml/itemProps3.xml><?xml version="1.0" encoding="utf-8"?>
<ds:datastoreItem xmlns:ds="http://schemas.openxmlformats.org/officeDocument/2006/customXml" ds:itemID="{1A8D88B3-F603-4313-AC14-F1B290569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5d585e-e7a7-414c-955d-38a47c8579bd"/>
    <ds:schemaRef ds:uri="33ab045e-9213-4eea-a9f2-a5b809105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BASE_DATOS_EVENTOS_GEN_CHILE</vt:lpstr>
      <vt:lpstr>POTENCIA_BRUTA_NETA_GEN_CHILE</vt:lpstr>
      <vt:lpstr>Mantenimientos_Programados</vt:lpstr>
      <vt:lpstr>Vigencia_Unidades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REQUENA Oscar (ENGIE ENERGÍA CHILE)</dc:creator>
  <cp:keywords/>
  <dc:description/>
  <cp:lastModifiedBy>REQUENA CASTRO Oscar (ENGIE ENERGÍA CHILE)</cp:lastModifiedBy>
  <cp:revision/>
  <dcterms:created xsi:type="dcterms:W3CDTF">2026-03-05T20:12:23Z</dcterms:created>
  <dcterms:modified xsi:type="dcterms:W3CDTF">2026-10-05T11:26:06Z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0x010100FB7AAE8C8816FD47B559A0CCF555AFF0</vt:lpwstr>
  </property>
  <property fmtid="{D5CDD505-2E9C-101B-9397-08002B2CF9AE}" pid="3" name="Order">
    <vt:r8>86627500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