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74" documentId="8_{55EF2082-D0B7-4F26-90F5-434FA2717943}" xr6:coauthVersionLast="47" xr6:coauthVersionMax="47" xr10:uidLastSave="{5063DA84-1CAB-4443-AB90-BBB3A290DD81}"/>
  <bookViews>
    <workbookView xWindow="-120" yWindow="-120" windowWidth="29040" windowHeight="15720" firstSheet="2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C308" i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<sst xmlns="http://schemas.openxmlformats.org/spreadsheetml/2006/main" count="707" uniqueCount="71">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</sst>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8" totalsRowShown="0" headerRowDxfId="11">
  <autoFilter ref="A10:I308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I331"/>
  <sheetViews>
    <sheetView workbookViewId="0">
      <pane ySplit="10" topLeftCell="A11" activePane="bottomLeft" state="frozen"/>
      <selection pane="bottomLeft" activeCell="H3" sqref="H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9" spans="1:9" x14ac:dyDescent="0.25">
      <c r="A9" s="2">
        <f>SUBTOTAL(103,BD_GEN_CL[Unidad])</f>
        <v>298</v>
      </c>
    </row>
    <row r="10" spans="1:9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 x14ac:dyDescent="0.25">
      <c r="A309" s="1"/>
    </row>
    <row r="310" spans="1:9" x14ac:dyDescent="0.25">
      <c r="A310" s="1"/>
    </row>
    <row r="311" spans="1:9" x14ac:dyDescent="0.25">
      <c r="A311" s="1"/>
    </row>
    <row r="312" spans="1:9" x14ac:dyDescent="0.25">
      <c r="A312" s="1"/>
    </row>
    <row r="313" spans="1:9" x14ac:dyDescent="0.25">
      <c r="A313" s="1"/>
    </row>
    <row r="314" spans="1:9" x14ac:dyDescent="0.25">
      <c r="A314" s="1"/>
    </row>
    <row r="315" spans="1:9" x14ac:dyDescent="0.25">
      <c r="A315" s="1"/>
    </row>
    <row r="316" spans="1:9" x14ac:dyDescent="0.25">
      <c r="A316" s="1"/>
    </row>
    <row r="317" spans="1:9" x14ac:dyDescent="0.25">
      <c r="A317" s="1"/>
    </row>
    <row r="318" spans="1:9" x14ac:dyDescent="0.25">
      <c r="A318" s="1"/>
    </row>
    <row r="319" spans="1:9" x14ac:dyDescent="0.25">
      <c r="A319" s="1"/>
    </row>
    <row r="320" spans="1:9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</v>
      </c>
      <c r="D7" s="14">
        <v>4</v>
      </c>
      <c r="E7" t="s">
        <v>68</v>
      </c>
    </row>
    <row r="8" spans="1:5" x14ac:dyDescent="0.25">
      <c r="A8" t="s">
        <v>18</v>
      </c>
      <c r="B8" s="3">
        <v>46143</v>
      </c>
      <c r="C8" s="3">
        <v>46147.999988425923</v>
      </c>
      <c r="D8" s="14">
        <f>Indisp_Prog[[#This Row],[Fecha_Hora_Fin]]-Indisp_Prog[[#This Row],[Fecha_Hora_Inicio]]</f>
        <v>4.9999884259232203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f95d585e-e7a7-414c-955d-38a47c8579bd"/>
    <ds:schemaRef ds:uri="http://purl.org/dc/terms/"/>
    <ds:schemaRef ds:uri="http://www.w3.org/XML/1998/namespace"/>
    <ds:schemaRef ds:uri="http://schemas.openxmlformats.org/package/2006/metadata/core-properties"/>
    <ds:schemaRef ds:uri="33ab045e-9213-4eea-a9f2-a5b809105d1e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2026-04-23T20:25:21Z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