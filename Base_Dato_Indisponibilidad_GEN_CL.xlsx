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52" documentId="8_{55EF2082-D0B7-4F26-90F5-434FA2717943}" xr6:coauthVersionLast="47" xr6:coauthVersionMax="47" xr10:uidLastSave="{DFBBCE50-D8CA-4261-A51C-FBF9AB913003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<sst xmlns="http://schemas.openxmlformats.org/spreadsheetml/2006/main" count="930" uniqueCount="123">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</sst>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164" formatCode="dd/mm/yyyy\ h:mm"/>
    </dxf>
    <dxf>
      <numFmt numFmtId="164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numFmt numFmtId="164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11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tabSelected="1" workbookViewId="0">
      <pane ySplit="10" topLeftCell="A337" activePane="bottomLeft" state="frozen"/>
      <selection pane="bottomLeft" activeCell="F349" sqref="F349"/>
    </sheetView>
  </sheetViews>
  <sheetFormatPr defaultColWidth="11.42578125" defaultRowHeight="14.4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>
      <c r="A9" s="2">
        <f>SUBTOTAL(103,BD_GEN_CL[Unidad])</f>
        <v>338</v>
      </c>
    </row>
    <row r="10" spans="1:10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ht="1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>
      <c r="A348">
        <v>338</v>
      </c>
      <c r="B348" s="13" t="s">
        <v>17</v>
      </c>
      <c r="C34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46250.208333333336</v>
      </c>
      <c r="H348" s="11"/>
      <c r="I348" s="1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defaultColWidth="11.42578125" defaultRowHeight="14.45"/>
  <cols>
    <col min="3" max="3" width="13.28515625" customWidth="1"/>
    <col min="4" max="4" width="12.85546875" customWidth="1"/>
  </cols>
  <sheetData>
    <row r="1" spans="1:4">
      <c r="A1" t="s">
        <v>1</v>
      </c>
      <c r="B1" t="s">
        <v>2</v>
      </c>
      <c r="C1" t="s">
        <v>110</v>
      </c>
      <c r="D1" t="s">
        <v>111</v>
      </c>
    </row>
    <row r="2" spans="1:4">
      <c r="A2" t="s">
        <v>16</v>
      </c>
      <c r="B2" t="s">
        <v>112</v>
      </c>
      <c r="C2">
        <v>245.84</v>
      </c>
      <c r="D2">
        <v>234.67</v>
      </c>
    </row>
    <row r="3" spans="1:4">
      <c r="A3" t="s">
        <v>17</v>
      </c>
      <c r="B3" t="s">
        <v>112</v>
      </c>
      <c r="C3">
        <v>176.6</v>
      </c>
      <c r="D3">
        <v>161.15</v>
      </c>
    </row>
    <row r="4" spans="1:4">
      <c r="A4" t="s">
        <v>19</v>
      </c>
      <c r="B4" t="s">
        <v>112</v>
      </c>
      <c r="C4">
        <v>174.26</v>
      </c>
      <c r="D4">
        <v>157.61000000000001</v>
      </c>
    </row>
    <row r="5" spans="1:4">
      <c r="A5" t="s">
        <v>14</v>
      </c>
      <c r="B5" t="s">
        <v>112</v>
      </c>
      <c r="C5">
        <v>376.96</v>
      </c>
      <c r="D5">
        <v>347.95</v>
      </c>
    </row>
    <row r="6" spans="1:4">
      <c r="A6" t="s">
        <v>12</v>
      </c>
      <c r="B6" t="s">
        <v>113</v>
      </c>
      <c r="C6">
        <v>399.41</v>
      </c>
      <c r="D6">
        <v>393.57</v>
      </c>
    </row>
    <row r="7" spans="1:4">
      <c r="A7" t="s">
        <v>15</v>
      </c>
      <c r="B7" t="s">
        <v>113</v>
      </c>
      <c r="C7">
        <v>20</v>
      </c>
      <c r="D7">
        <v>19.87</v>
      </c>
    </row>
    <row r="8" spans="1:4">
      <c r="A8" t="s">
        <v>20</v>
      </c>
      <c r="B8" t="s">
        <v>113</v>
      </c>
      <c r="C8">
        <v>21</v>
      </c>
      <c r="D8">
        <v>19.57</v>
      </c>
    </row>
    <row r="9" spans="1:4">
      <c r="A9" t="s">
        <v>86</v>
      </c>
      <c r="B9" t="s">
        <v>113</v>
      </c>
      <c r="C9">
        <v>21</v>
      </c>
      <c r="D9">
        <v>19.86</v>
      </c>
    </row>
    <row r="10" spans="1:4">
      <c r="A10" t="s">
        <v>10</v>
      </c>
      <c r="B10" t="s">
        <v>112</v>
      </c>
      <c r="C10">
        <v>131</v>
      </c>
      <c r="D10">
        <v>120</v>
      </c>
    </row>
    <row r="11" spans="1:4">
      <c r="A11" t="s">
        <v>18</v>
      </c>
      <c r="B11" t="s">
        <v>112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D16" sqref="D16"/>
    </sheetView>
  </sheetViews>
  <sheetFormatPr defaultColWidth="11.42578125" defaultRowHeight="14.4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>
      <c r="A1" t="s">
        <v>1</v>
      </c>
      <c r="B1" t="s">
        <v>5</v>
      </c>
      <c r="C1" t="s">
        <v>114</v>
      </c>
      <c r="D1" t="s">
        <v>115</v>
      </c>
      <c r="E1" t="s">
        <v>7</v>
      </c>
    </row>
    <row r="2" spans="1: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116</v>
      </c>
    </row>
    <row r="3" spans="1: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117</v>
      </c>
    </row>
    <row r="4" spans="1:5">
      <c r="A4" t="s">
        <v>17</v>
      </c>
      <c r="B4" s="3">
        <v>46235</v>
      </c>
      <c r="C4" s="3">
        <v>46260.82984953704</v>
      </c>
      <c r="D4" s="14">
        <f>Indisp_Prog[[#This Row],[Fecha_Hora_Fin]]-Indisp_Prog[[#This Row],[Fecha_Hora_Inicio]]</f>
        <v>25.829849537039991</v>
      </c>
      <c r="E4" t="s">
        <v>118</v>
      </c>
    </row>
    <row r="5" spans="1:5">
      <c r="A5" t="s">
        <v>12</v>
      </c>
      <c r="B5" s="3">
        <v>46330</v>
      </c>
      <c r="C5" s="3">
        <v>46348.999305555553</v>
      </c>
      <c r="D5" s="14">
        <v>18</v>
      </c>
      <c r="E5" t="s">
        <v>119</v>
      </c>
    </row>
    <row r="6" spans="1: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119</v>
      </c>
    </row>
    <row r="7" spans="1: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120</v>
      </c>
    </row>
    <row r="8" spans="1: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120</v>
      </c>
    </row>
    <row r="9" spans="1: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defaultColWidth="11.42578125" defaultRowHeight="14.4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>
      <c r="A1" t="s">
        <v>1</v>
      </c>
      <c r="B1" t="s">
        <v>121</v>
      </c>
      <c r="C1" t="s">
        <v>122</v>
      </c>
    </row>
    <row r="2" spans="1:3">
      <c r="A2" t="s">
        <v>10</v>
      </c>
      <c r="B2" s="7">
        <v>35065</v>
      </c>
      <c r="C2" s="7">
        <v>46022</v>
      </c>
    </row>
    <row r="3" spans="1:3">
      <c r="A3" t="s">
        <v>18</v>
      </c>
      <c r="B3" s="7">
        <v>35796</v>
      </c>
      <c r="C3" s="7">
        <v>46022</v>
      </c>
    </row>
    <row r="4" spans="1:3">
      <c r="A4" t="s">
        <v>20</v>
      </c>
      <c r="B4" s="7">
        <v>27760</v>
      </c>
      <c r="C4" s="7">
        <v>46517</v>
      </c>
    </row>
    <row r="5" spans="1:3">
      <c r="A5" t="s">
        <v>86</v>
      </c>
      <c r="B5" s="7">
        <v>27760</v>
      </c>
      <c r="C5" s="7">
        <v>46517</v>
      </c>
    </row>
    <row r="6" spans="1:3">
      <c r="A6" t="s">
        <v>15</v>
      </c>
      <c r="B6" s="7">
        <v>34335</v>
      </c>
      <c r="C6" s="7">
        <v>46631</v>
      </c>
    </row>
    <row r="7" spans="1:3">
      <c r="A7" t="s">
        <v>16</v>
      </c>
      <c r="B7" s="7">
        <v>36526</v>
      </c>
      <c r="C7" s="7">
        <v>48579</v>
      </c>
    </row>
    <row r="8" spans="1:3">
      <c r="A8" t="s">
        <v>17</v>
      </c>
      <c r="B8" s="7">
        <v>40544</v>
      </c>
      <c r="C8" s="7">
        <v>46517</v>
      </c>
    </row>
    <row r="9" spans="1:3">
      <c r="A9" t="s">
        <v>19</v>
      </c>
      <c r="B9" s="7">
        <v>40909</v>
      </c>
      <c r="C9" s="7">
        <v>46517</v>
      </c>
    </row>
    <row r="10" spans="1:3">
      <c r="A10" t="s">
        <v>14</v>
      </c>
      <c r="B10" s="7">
        <v>43466</v>
      </c>
      <c r="C10" s="7">
        <v>48579</v>
      </c>
    </row>
    <row r="11" spans="1: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/>
</file>

<file path=customXml/itemProps2.xml><?xml version="1.0" encoding="utf-8"?>
<ds:datastoreItem xmlns:ds="http://schemas.openxmlformats.org/officeDocument/2006/customXml" ds:itemID="{59A15667-1AA5-4404-9771-E51F1A78CCAA}"/>
</file>

<file path=customXml/itemProps3.xml><?xml version="1.0" encoding="utf-8"?>
<ds:datastoreItem xmlns:ds="http://schemas.openxmlformats.org/officeDocument/2006/customXml" ds:itemID="{1A8D88B3-F603-4313-AC14-F1B2905698D7}"/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2026-08-31T12:50:02Z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