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458" documentId="8_{55EF2082-D0B7-4F26-90F5-434FA2717943}" xr6:coauthVersionLast="47" xr6:coauthVersionMax="47" xr10:uidLastSave="{864561BD-096B-40D3-B3A8-2565C78A7703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6" i="1" l="1"/>
  <c r="C355" i="1"/>
  <c r="C354" i="1"/>
  <c r="C353" i="1"/>
  <c r="D2" i="3"/>
  <c r="C352" i="1"/>
  <c r="C351" i="1"/>
  <c r="C350" i="1"/>
  <c r="C349" i="1"/>
  <c r="C348" i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<sst xmlns="http://schemas.openxmlformats.org/spreadsheetml/2006/main" count="973" uniqueCount="135">
  <si>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</si>
  <si>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</si>
  <si>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</si>
  <si>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</si>
  <si>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</si>
  <si>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</si>
  <si>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</si>
  <si>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</si>
  <si>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</si>
  <si>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</si>
  <si>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</si>
  <si>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</si>
  <si>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</si>
  <si>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</si>
  <si>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</si>
  <si>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</si>
  <si>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</si>
  <si>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</si>
  <si>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</si>
  <si>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</si>
  <si>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</si>
  <si>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</si>
  <si>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</si>
  <si>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</si>
  <si>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</si>
  <si>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</si>
  <si>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</si>
  <si>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</si>
  <si>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</si>
  <si>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</si>
  <si>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</si>
  <si>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</si>
  <si>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</si>
  <si>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</si>
  <si>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</si>
  <si>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</si>
  <si>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</si>
  <si>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</si>
  <si>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</si>
  <si>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</si>
  <si>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</si>
  <si>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</si>
  <si>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</si>
  <si>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</si>
  <si>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</si>
  <si>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</si>
  <si>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</si>
  <si>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</si>
  <si>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</si>
  <si>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</si>
  <si>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</si>
  <si>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</si>
  <si>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</si>
  <si>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</si>
  <si>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</si>
  <si>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</si>
  <si>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</si>
  <si>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</si>
  <si>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</si>
  <si>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</si>
  <si>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</si>
  <si>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</si>
  <si>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</si>
  <si>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</si>
  <si>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</si>
  <si>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</si>
  <si>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</si>
  <si>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</si>
  <si>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</si>
  <si>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</si>
  <si>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</si>
  <si>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</si>
  <si>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</si>
  <si>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</si>
  <si>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</si>
  <si>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</si>
  <si>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</si>
  <si>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</si>
  <si>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</si>
  <si>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</si>
  <si>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</si>
  <si>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</si>
  <si>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</si>
  <si>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</si>
  <si>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</si>
  <si>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</si>
  <si>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</si>
  <si>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</si>
  <si>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</si>
  <si>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</si>
  <si>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</si>
  <si>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</si>
  <si>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</si>
  <si>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</si>
  <si>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</si>
  <si>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</si>
  <si>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</si>
  <si>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</si>
  <si>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</si>
  <si>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</si>
  <si>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</si>
  <si>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</si>
  <si>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</si>
  <si>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</si>
  <si>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</si>
  <si>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</si>
  <si>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</si>
  <si>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</si>
  <si>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</si>
  <si>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</si>
  <si>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</si>
  <si>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</si>
  <si>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</si>
  <si>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</si>
  <si>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</si>
  <si>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</si>
  <si>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</si>
  <si>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</si>
  <si>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</si>
  <si>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</si>
  <si>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</si>
  <si>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</si>
  <si>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</si>
  <si>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</si>
  <si>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</si>
  <si>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Retiro controlado TV</t>
  </si>
  <si>
    <t>Alarma alta presión sistema de lubricación.</t>
  </si>
  <si>
    <t>Alta vibración descanzo TV</t>
  </si>
  <si>
    <t>Bajo nivel del Domo MP</t>
  </si>
  <si>
    <t>Falla valvúla control nivel del Domo MP</t>
  </si>
  <si>
    <t>Falla en valvúla de gas, alimentación combustible a TG</t>
  </si>
  <si>
    <t>Alto consumo agua desmineralizada en caldera.</t>
  </si>
  <si>
    <t>Posible rotura caldera.</t>
  </si>
  <si>
    <t>Rotura caldera vortex derecho y SH2</t>
  </si>
  <si>
    <t>Abierto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</si>
</sst>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56" totalsRowShown="0" headerRowDxfId="8">
  <autoFilter ref="A10:J356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56"/>
  <sheetViews>
    <sheetView tabSelected="1" workbookViewId="0">
      <pane ySplit="10" topLeftCell="A331" activePane="bottomLeft" state="frozen"/>
      <selection pane="bottomLeft" activeCell="B356" sqref="B356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4.4257812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346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46263.368750000001</v>
      </c>
      <c r="H348" s="11" t="s">
        <v>110</v>
      </c>
      <c r="I348" s="11" t="s">
        <v>111</v>
      </c>
      <c r="J348" s="1" t="s">
        <v>23</v>
      </c>
    </row>
    <row r="349" spans="1:10" x14ac:dyDescent="0.25">
      <c r="A349" s="1">
        <v>339</v>
      </c>
      <c r="B349" s="13" t="s">
        <v>12</v>
      </c>
      <c r="C3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9" s="14">
        <v>262</v>
      </c>
      <c r="E349" s="13" t="s">
        <v>11</v>
      </c>
      <c r="F349" s="15">
        <v>46270.692361111112</v>
      </c>
      <c r="G349" s="15">
        <v>46271.84375</v>
      </c>
      <c r="H349" s="11" t="s">
        <v>125</v>
      </c>
      <c r="I349" s="11" t="s">
        <v>126</v>
      </c>
      <c r="J349" s="1" t="s">
        <v>23</v>
      </c>
    </row>
    <row r="350" spans="1:10" x14ac:dyDescent="0.25">
      <c r="A350" s="1">
        <v>340</v>
      </c>
      <c r="B350" s="13" t="s">
        <v>12</v>
      </c>
      <c r="C3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0" s="14">
        <v>262</v>
      </c>
      <c r="E350" s="13" t="s">
        <v>11</v>
      </c>
      <c r="F350" s="15">
        <v>46275.823611111111</v>
      </c>
      <c r="G350" s="15">
        <v>46275.894444444442</v>
      </c>
      <c r="H350" s="11" t="s">
        <v>125</v>
      </c>
      <c r="I350" s="11" t="s">
        <v>127</v>
      </c>
      <c r="J350" s="1" t="s">
        <v>23</v>
      </c>
    </row>
    <row r="351" spans="1:10" x14ac:dyDescent="0.25">
      <c r="A351" s="1">
        <v>341</v>
      </c>
      <c r="B351" s="13" t="s">
        <v>16</v>
      </c>
      <c r="C3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1" s="14">
        <v>0</v>
      </c>
      <c r="E351" s="13" t="s">
        <v>13</v>
      </c>
      <c r="F351" s="15">
        <v>46276.121527777781</v>
      </c>
      <c r="G351" s="15">
        <v>46276.189583333333</v>
      </c>
      <c r="H351" s="11" t="s">
        <v>128</v>
      </c>
      <c r="I351" s="11" t="s">
        <v>129</v>
      </c>
      <c r="J351" s="1" t="s">
        <v>23</v>
      </c>
    </row>
    <row r="352" spans="1:10" x14ac:dyDescent="0.25">
      <c r="A352" s="1">
        <v>342</v>
      </c>
      <c r="B352" s="13" t="s">
        <v>12</v>
      </c>
      <c r="C3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2" s="14">
        <v>262</v>
      </c>
      <c r="E352" s="13" t="s">
        <v>11</v>
      </c>
      <c r="F352" s="15">
        <v>46277.865277777775</v>
      </c>
      <c r="G352" s="15">
        <v>46277.884027777778</v>
      </c>
      <c r="H352" s="11" t="s">
        <v>125</v>
      </c>
      <c r="I352" s="11" t="s">
        <v>127</v>
      </c>
      <c r="J352" s="1" t="s">
        <v>23</v>
      </c>
    </row>
    <row r="353" spans="1:10" x14ac:dyDescent="0.25">
      <c r="A353" s="1">
        <v>343</v>
      </c>
      <c r="B353" s="13" t="s">
        <v>12</v>
      </c>
      <c r="C3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3" s="14">
        <v>0</v>
      </c>
      <c r="E353" s="13" t="s">
        <v>13</v>
      </c>
      <c r="F353" s="15">
        <v>46299.243055555555</v>
      </c>
      <c r="G353" s="15">
        <v>46299.673611111109</v>
      </c>
      <c r="H353" s="11" t="s">
        <v>95</v>
      </c>
      <c r="I353" s="11" t="s">
        <v>130</v>
      </c>
      <c r="J353" s="1" t="s">
        <v>23</v>
      </c>
    </row>
    <row r="354" spans="1:10" x14ac:dyDescent="0.25">
      <c r="A354" s="1">
        <v>344</v>
      </c>
      <c r="B354" s="13" t="s">
        <v>12</v>
      </c>
      <c r="C35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4" s="14">
        <v>262</v>
      </c>
      <c r="E354" s="13" t="s">
        <v>11</v>
      </c>
      <c r="F354" s="15">
        <v>46298.354166666664</v>
      </c>
      <c r="G354" s="15">
        <v>46298.465277777781</v>
      </c>
      <c r="H354" s="11" t="s">
        <v>125</v>
      </c>
      <c r="I354" s="11" t="s">
        <v>127</v>
      </c>
      <c r="J354" s="1" t="s">
        <v>23</v>
      </c>
    </row>
    <row r="355" spans="1:10" x14ac:dyDescent="0.25">
      <c r="A355" s="1">
        <v>345</v>
      </c>
      <c r="B355" s="13" t="s">
        <v>17</v>
      </c>
      <c r="C35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5" s="14">
        <v>70</v>
      </c>
      <c r="E355" s="13" t="s">
        <v>11</v>
      </c>
      <c r="F355" s="15">
        <v>46298.188194444447</v>
      </c>
      <c r="G355" s="15">
        <v>46298.261111111111</v>
      </c>
      <c r="H355" s="11" t="s">
        <v>131</v>
      </c>
      <c r="I355" s="11" t="s">
        <v>132</v>
      </c>
      <c r="J355" s="1" t="s">
        <v>23</v>
      </c>
    </row>
    <row r="356" spans="1:10" x14ac:dyDescent="0.25">
      <c r="A356" s="1">
        <v>346</v>
      </c>
      <c r="B356" s="13" t="s">
        <v>17</v>
      </c>
      <c r="C35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6" s="14">
        <v>0</v>
      </c>
      <c r="E356" s="13" t="s">
        <v>13</v>
      </c>
      <c r="F356" s="15">
        <v>46298.261111111111</v>
      </c>
      <c r="G356" s="15"/>
      <c r="H356" s="11" t="s">
        <v>131</v>
      </c>
      <c r="I356" s="11" t="s">
        <v>133</v>
      </c>
      <c r="J356" s="1" t="s">
        <v>134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8" sqref="C8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29" sqref="D2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46295.999988425923</v>
      </c>
      <c r="D2" s="14">
        <f>Indisp_Prog[[#This Row],[Fecha_Hora_Fin]]-Indisp_Prog[[#This Row],[Fecha_Hora_Inicio]]</f>
        <v>272.99998842592322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2026-10-05T11:28:17Z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